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4717d1a956b9f03/Desktop/BHAGYALAKSHMI/project/"/>
    </mc:Choice>
  </mc:AlternateContent>
  <xr:revisionPtr revIDLastSave="1471" documentId="8_{A8707734-48A7-4861-9D17-67EAC53022E2}" xr6:coauthVersionLast="47" xr6:coauthVersionMax="47" xr10:uidLastSave="{DFD3ACE1-B8AD-49E2-8540-F8C7518F5012}"/>
  <bookViews>
    <workbookView xWindow="-108" yWindow="-108" windowWidth="23256" windowHeight="13896" activeTab="3" xr2:uid="{2DC2C94F-4B6A-4A20-B956-FBFFCCECD3BB}"/>
  </bookViews>
  <sheets>
    <sheet name="sales_data" sheetId="1" r:id="rId1"/>
    <sheet name="Sheet1" sheetId="3" r:id="rId2"/>
    <sheet name="Sheet2" sheetId="4" r:id="rId3"/>
    <sheet name="DASHBOARD" sheetId="14" r:id="rId4"/>
  </sheets>
  <definedNames>
    <definedName name="Slicer_Product_Category">#N/A</definedName>
    <definedName name="Slicer_Quantity_Sold">#N/A</definedName>
    <definedName name="Slicer_Region">#N/A</definedName>
    <definedName name="Slicer_Sales_Amount">#N/A</definedName>
    <definedName name="Slicer_Sales_Rep">#N/A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90" i="3" l="1"/>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1" i="3"/>
  <c r="J992" i="3"/>
  <c r="J993" i="3"/>
  <c r="J994" i="3"/>
  <c r="J995" i="3"/>
  <c r="J996" i="3"/>
  <c r="J997" i="3"/>
  <c r="J998" i="3"/>
  <c r="J999" i="3"/>
  <c r="J1000" i="3"/>
  <c r="J1001" i="3"/>
</calcChain>
</file>

<file path=xl/sharedStrings.xml><?xml version="1.0" encoding="utf-8"?>
<sst xmlns="http://schemas.openxmlformats.org/spreadsheetml/2006/main" count="10076" uniqueCount="72">
  <si>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</si>
  <si>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</si>
  <si>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</si>
  <si>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</si>
  <si>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</si>
  <si>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</si>
  <si>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</si>
  <si>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</si>
  <si>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</si>
  <si>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</si>
  <si>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</si>
  <si>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</si>
  <si>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</si>
  <si>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</si>
  <si>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</si>
  <si>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</si>
  <si>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</si>
  <si>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</si>
  <si>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</si>
  <si>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</si>
  <si>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</si>
  <si>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</si>
  <si>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</si>
  <si>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</si>
  <si>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</si>
  <si>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</si>
  <si>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</si>
  <si>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</si>
  <si>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</si>
  <si>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</si>
  <si>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</si>
  <si>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</si>
  <si>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</si>
  <si>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</si>
  <si>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</si>
  <si>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</si>
  <si>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</si>
  <si>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</si>
  <si>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</si>
  <si>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</si>
  <si>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</si>
  <si>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</si>
  <si>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</si>
  <si>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</si>
  <si>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</si>
  <si>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</si>
  <si>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</si>
  <si>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</si>
  <si>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</si>
  <si>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</si>
  <si>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</si>
  <si>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</si>
  <si>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</si>
  <si>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</si>
  <si>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</si>
  <si>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</si>
  <si>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</si>
  <si>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Profit</t>
  </si>
  <si>
    <t>Count of Quantity_Sold</t>
  </si>
  <si>
    <t>Jan</t>
  </si>
  <si>
    <t>Feb</t>
  </si>
  <si>
    <t>Mar</t>
  </si>
  <si>
    <t>Apr</t>
  </si>
  <si>
    <t>May</t>
  </si>
  <si>
    <t>Jun</t>
  </si>
  <si>
    <t>Jul</t>
  </si>
  <si>
    <t>Aug</t>
  </si>
  <si>
    <t>Sep</t>
  </si>
  <si>
    <t>Oct</t>
  </si>
  <si>
    <t>Nov</t>
  </si>
  <si>
    <t>Dec</t>
  </si>
  <si>
    <t>Sum of Quantity_Sold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</si>
</sst>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[sales_data.csv.xlsx]Sheet2!PivotTable1</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Products sold by sales rep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Sheet2!$B$25:$B$30</c:f>
              <c:strCache>
                <c:ptCount val="5"/>
                <c:pt idx="0">
                  <c:v>Alice</c:v>
                </c:pt>
                <c:pt idx="1">
                  <c:v>Bob</c:v>
                </c:pt>
                <c:pt idx="2">
                  <c:v>Charlie</c:v>
                </c:pt>
                <c:pt idx="3">
                  <c:v>David</c:v>
                </c:pt>
                <c:pt idx="4">
                  <c:v>Eve</c:v>
                </c:pt>
              </c:strCache>
            </c:strRef>
          </c:cat>
          <c:val>
            <c:numRef>
              <c:f>Sheet2!$C$25:$C$30</c:f>
              <c:numCache>
                <c:formatCode>General</c:formatCode>
                <c:ptCount val="5"/>
                <c:pt idx="0">
                  <c:v>192</c:v>
                </c:pt>
                <c:pt idx="1">
                  <c:v>208</c:v>
                </c:pt>
                <c:pt idx="2">
                  <c:v>169</c:v>
                </c:pt>
                <c:pt idx="3">
                  <c:v>222</c:v>
                </c:pt>
                <c:pt idx="4">
                  <c:v>209</c:v>
                </c:pt>
              </c:numCache>
            </c:numRef>
          </c:val>
          <c:smooth val="0"/>
          <c:extLst>
            <c:ext xmlns:c16="http://schemas.microsoft.com/office/drawing/2014/chart" uri="{C3380CC4-5D6E-409C-BE32-E72D297353CC}">
              <c16:uniqueId val="{00000000-CF91-48AF-BE9C-CB16BA19055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15045648"/>
        <c:axId val="1915063408"/>
      </c:lineChart>
      <c:catAx>
        <c:axId val="191504564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1915063408"/>
        <c:crosses val="autoZero"/>
        <c:auto val="1"/>
        <c:lblAlgn val="ctr"/>
        <c:lblOffset val="100"/>
        <c:noMultiLvlLbl val="0"/>
      </c:catAx>
      <c:valAx>
        <c:axId val="191506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9150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amouont by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Sheet2!$C$17</c:f>
              <c:strCache>
                <c:ptCount val="1"/>
                <c:pt idx="0">
                  <c:v>Total</c:v>
                </c:pt>
              </c:strCache>
            </c:strRef>
          </c:tx>
          <c:spPr>
            <a:solidFill>
              <a:schemeClr val="accent1"/>
            </a:solidFill>
            <a:ln>
              <a:noFill/>
            </a:ln>
            <a:effectLst/>
          </c:spPr>
          <c:invertIfNegative val="0"/>
          <c:cat>
            <c:strRef>
              <c:f>Sheet2!$B$18:$B$22</c:f>
              <c:strCache>
                <c:ptCount val="4"/>
                <c:pt idx="0">
                  <c:v>Clothing</c:v>
                </c:pt>
                <c:pt idx="1">
                  <c:v>Electronics</c:v>
                </c:pt>
                <c:pt idx="2">
                  <c:v>Food</c:v>
                </c:pt>
                <c:pt idx="3">
                  <c:v>Furniture</c:v>
                </c:pt>
              </c:strCache>
            </c:strRef>
          </c:cat>
          <c:val>
            <c:numRef>
              <c:f>Sheet2!$C$18:$C$22</c:f>
              <c:numCache>
                <c:formatCode>"₹"\ #,##0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6266-417B-BFA1-F573400CEAB3}"/>
            </c:ext>
          </c:extLst>
        </c:ser>
        <c:dLbls>
          <c:dLblPos val="outEnd"/>
          <c:showLegendKey val="0"/>
          <c:showVal val="0"/>
          <c:showCatName val="0"/>
          <c:showSerName val="0"/>
          <c:showPercent val="0"/>
          <c:showBubbleSize val="0"/>
        </c:dLbls>
        <c:gapWidth val="71"/>
        <c:axId val="1867560143"/>
        <c:axId val="1867560623"/>
      </c:barChart>
      <c:catAx>
        <c:axId val="186756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7560623"/>
        <c:crosses val="autoZero"/>
        <c:auto val="1"/>
        <c:lblAlgn val="ctr"/>
        <c:lblOffset val="100"/>
        <c:noMultiLvlLbl val="0"/>
      </c:catAx>
      <c:valAx>
        <c:axId val="186756062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756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[sales_data.csv.xlsx]Sheet2!PivotTable2</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amount by each month</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Sheet2!$F$5:$F$17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Sheet2!$G$5:$G$17</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DD07-453D-933F-836AD68B954E}"/>
            </c:ext>
          </c:extLst>
        </c:ser>
        <c:dLbls>
          <c:dLblPos val="ctr"/>
          <c:showLegendKey val="0"/>
          <c:showVal val="0"/>
          <c:showCatName val="0"/>
          <c:showSerName val="0"/>
          <c:showPercent val="0"/>
          <c:showBubbleSize val="0"/>
        </c:dLbls>
        <c:marker val="1"/>
        <c:smooth val="0"/>
        <c:axId val="4678591"/>
        <c:axId val="4679071"/>
      </c:lineChart>
      <c:catAx>
        <c:axId val="467859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79071"/>
        <c:crosses val="autoZero"/>
        <c:auto val="1"/>
        <c:lblAlgn val="ctr"/>
        <c:lblOffset val="100"/>
        <c:noMultiLvlLbl val="0"/>
      </c:catAx>
      <c:valAx>
        <c:axId val="467907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7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amount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1500803863128"/>
          <c:y val="0.16175584643189661"/>
          <c:w val="0.82604369116913556"/>
          <c:h val="0.74365679455417633"/>
        </c:manualLayout>
      </c:layout>
      <c:areaChart>
        <c:grouping val="standard"/>
        <c:varyColors val="0"/>
        <c:ser>
          <c:idx val="0"/>
          <c:order val="0"/>
          <c:tx>
            <c:strRef>
              <c:f>Sheet2!$C$2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Sheet2!$B$3:$B$7</c:f>
              <c:strCache>
                <c:ptCount val="4"/>
                <c:pt idx="0">
                  <c:v>East</c:v>
                </c:pt>
                <c:pt idx="1">
                  <c:v>North</c:v>
                </c:pt>
                <c:pt idx="2">
                  <c:v>South</c:v>
                </c:pt>
                <c:pt idx="3">
                  <c:v>West</c:v>
                </c:pt>
              </c:strCache>
            </c:strRef>
          </c:cat>
          <c:val>
            <c:numRef>
              <c:f>Sheet2!$C$3:$C$7</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E7C5-4801-9DB0-01A61E8A4F86}"/>
            </c:ext>
          </c:extLst>
        </c:ser>
        <c:dLbls>
          <c:showLegendKey val="0"/>
          <c:showVal val="0"/>
          <c:showCatName val="0"/>
          <c:showSerName val="0"/>
          <c:showPercent val="0"/>
          <c:showBubbleSize val="0"/>
        </c:dLbls>
        <c:axId val="605859823"/>
        <c:axId val="605860783"/>
      </c:areaChart>
      <c:catAx>
        <c:axId val="6058598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5860783"/>
        <c:crosses val="autoZero"/>
        <c:auto val="1"/>
        <c:lblAlgn val="ctr"/>
        <c:lblOffset val="100"/>
        <c:noMultiLvlLbl val="0"/>
      </c:catAx>
      <c:valAx>
        <c:axId val="60586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58598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Unit sold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doughnutChart>
        <c:varyColors val="1"/>
        <c:ser>
          <c:idx val="0"/>
          <c:order val="0"/>
          <c:tx>
            <c:strRef>
              <c:f>Sheet2!$G$20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69B-4E55-B329-D54583A80E6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69B-4E55-B329-D54583A80E6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69B-4E55-B329-D54583A80E6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69B-4E55-B329-D54583A80E63}"/>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Sheet2!$F$21:$F$25</c:f>
              <c:strCache>
                <c:ptCount val="4"/>
                <c:pt idx="0">
                  <c:v>East</c:v>
                </c:pt>
                <c:pt idx="1">
                  <c:v>North</c:v>
                </c:pt>
                <c:pt idx="2">
                  <c:v>South</c:v>
                </c:pt>
                <c:pt idx="3">
                  <c:v>West</c:v>
                </c:pt>
              </c:strCache>
            </c:strRef>
          </c:cat>
          <c:val>
            <c:numRef>
              <c:f>Sheet2!$G$21:$G$25</c:f>
              <c:numCache>
                <c:formatCode>General</c:formatCode>
                <c:ptCount val="4"/>
                <c:pt idx="0">
                  <c:v>6356</c:v>
                </c:pt>
                <c:pt idx="1">
                  <c:v>6705</c:v>
                </c:pt>
                <c:pt idx="2">
                  <c:v>5808</c:v>
                </c:pt>
                <c:pt idx="3">
                  <c:v>6486</c:v>
                </c:pt>
              </c:numCache>
            </c:numRef>
          </c:val>
          <c:extLst>
            <c:ext xmlns:c16="http://schemas.microsoft.com/office/drawing/2014/chart" uri="{C3380CC4-5D6E-409C-BE32-E72D297353CC}">
              <c16:uniqueId val="{00000008-469B-4E55-B329-D54583A80E6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[sales_data.csv.xlsx]Sheet2!PivotTable5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amount by sales rep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Sheet2!$B$10:$B$15</c:f>
              <c:strCache>
                <c:ptCount val="5"/>
                <c:pt idx="0">
                  <c:v>Alice</c:v>
                </c:pt>
                <c:pt idx="1">
                  <c:v>Bob</c:v>
                </c:pt>
                <c:pt idx="2">
                  <c:v>Charlie</c:v>
                </c:pt>
                <c:pt idx="3">
                  <c:v>David</c:v>
                </c:pt>
                <c:pt idx="4">
                  <c:v>Eve</c:v>
                </c:pt>
              </c:strCache>
            </c:strRef>
          </c:cat>
          <c:val>
            <c:numRef>
              <c:f>Sheet2!$C$10:$C$15</c:f>
              <c:numCache>
                <c:formatCode>General</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EF80-45E2-BD20-A1DBC0C6DAF9}"/>
            </c:ext>
          </c:extLst>
        </c:ser>
        <c:dLbls>
          <c:showLegendKey val="0"/>
          <c:showVal val="0"/>
          <c:showCatName val="0"/>
          <c:showSerName val="0"/>
          <c:showPercent val="0"/>
          <c:showBubbleSize val="0"/>
        </c:dLbls>
        <c:gapWidth val="115"/>
        <c:overlap val="-20"/>
        <c:axId val="1097538047"/>
        <c:axId val="1097534207"/>
      </c:barChart>
      <c:catAx>
        <c:axId val="109753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34207"/>
        <c:crosses val="autoZero"/>
        <c:auto val="1"/>
        <c:lblAlgn val="ctr"/>
        <c:lblOffset val="100"/>
        <c:noMultiLvlLbl val="0"/>
      </c:catAx>
      <c:valAx>
        <c:axId val="109753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83127</xdr:colOff>
      <xdr:row>0</xdr:row>
      <xdr:rowOff>0</xdr:rowOff>
    </xdr:from>
    <xdr:to>
      <xdr:col>27</xdr:col>
      <xdr:colOff>27708</xdr:colOff>
      <xdr:row>47</xdr:row>
      <xdr:rowOff>96981</xdr:rowOff>
    </xdr:to>
    <xdr:sp macro="" textlink="">
      <xdr:nvSpPr>
        <xdr:cNvPr id="2" name="Rectangle 1">
          <a:extLst>
            <a:ext uri="{FF2B5EF4-FFF2-40B4-BE49-F238E27FC236}">
              <a16:creationId xmlns:a16="http://schemas.microsoft.com/office/drawing/2014/main" id="{A9BC92E9-F2B2-2983-2DC8-3678DEA67F4A}"/>
            </a:ext>
          </a:extLst>
        </xdr:cNvPr>
        <xdr:cNvSpPr/>
      </xdr:nvSpPr>
      <xdr:spPr>
        <a:xfrm>
          <a:off x="83127" y="0"/>
          <a:ext cx="17387454" cy="856210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637309</xdr:colOff>
      <xdr:row>0</xdr:row>
      <xdr:rowOff>72786</xdr:rowOff>
    </xdr:from>
    <xdr:to>
      <xdr:col>26</xdr:col>
      <xdr:colOff>124691</xdr:colOff>
      <xdr:row>5</xdr:row>
      <xdr:rowOff>6936</xdr:rowOff>
    </xdr:to>
    <xdr:sp macro="" textlink="">
      <xdr:nvSpPr>
        <xdr:cNvPr id="8" name="TextBox 7">
          <a:extLst>
            <a:ext uri="{FF2B5EF4-FFF2-40B4-BE49-F238E27FC236}">
              <a16:creationId xmlns:a16="http://schemas.microsoft.com/office/drawing/2014/main" id="{A3A9AFD1-0C68-09A0-289B-40F58963A991}"/>
            </a:ext>
          </a:extLst>
        </xdr:cNvPr>
        <xdr:cNvSpPr txBox="1"/>
      </xdr:nvSpPr>
      <xdr:spPr>
        <a:xfrm>
          <a:off x="1496291" y="72786"/>
          <a:ext cx="15461673" cy="83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accent1">
                  <a:lumMod val="50000"/>
                </a:schemeClr>
              </a:solidFill>
              <a:latin typeface="Algerian" panose="04020705040A02060702" pitchFamily="82" charset="0"/>
            </a:rPr>
            <a:t>SALES</a:t>
          </a:r>
          <a:r>
            <a:rPr lang="en-IN" sz="4400">
              <a:solidFill>
                <a:srgbClr val="0070C0"/>
              </a:solidFill>
            </a:rPr>
            <a:t> </a:t>
          </a:r>
          <a:r>
            <a:rPr lang="en-IN" sz="4400">
              <a:solidFill>
                <a:schemeClr val="accent1">
                  <a:lumMod val="50000"/>
                </a:schemeClr>
              </a:solidFill>
              <a:latin typeface="Algerian" panose="04020705040A02060702" pitchFamily="82" charset="0"/>
              <a:ea typeface="+mn-ea"/>
              <a:cs typeface="+mn-cs"/>
            </a:rPr>
            <a:t>PERFORMANCE ANALYSIS </a:t>
          </a:r>
          <a:r>
            <a:rPr lang="en-IN" sz="4400">
              <a:solidFill>
                <a:schemeClr val="accent1">
                  <a:lumMod val="50000"/>
                </a:schemeClr>
              </a:solidFill>
              <a:latin typeface="Algerian" panose="04020705040A02060702" pitchFamily="82" charset="0"/>
            </a:rPr>
            <a:t>DASHBOARD</a:t>
          </a:r>
        </a:p>
      </xdr:txBody>
    </xdr:sp>
    <xdr:clientData/>
  </xdr:twoCellAnchor>
  <xdr:twoCellAnchor>
    <xdr:from>
      <xdr:col>0</xdr:col>
      <xdr:colOff>192574</xdr:colOff>
      <xdr:row>7</xdr:row>
      <xdr:rowOff>148717</xdr:rowOff>
    </xdr:from>
    <xdr:to>
      <xdr:col>6</xdr:col>
      <xdr:colOff>484909</xdr:colOff>
      <xdr:row>25</xdr:row>
      <xdr:rowOff>112059</xdr:rowOff>
    </xdr:to>
    <xdr:graphicFrame macro="">
      <xdr:nvGraphicFramePr>
        <xdr:cNvPr id="22" name="Chart 21">
          <a:extLst>
            <a:ext uri="{FF2B5EF4-FFF2-40B4-BE49-F238E27FC236}">
              <a16:creationId xmlns:a16="http://schemas.microsoft.com/office/drawing/2014/main" id="{563BCCF5-F890-4123-88D2-1FE54B802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123265</xdr:colOff>
      <xdr:row>7</xdr:row>
      <xdr:rowOff>124508</xdr:rowOff>
    </xdr:from>
    <xdr:to>
      <xdr:col>23</xdr:col>
      <xdr:colOff>44824</xdr:colOff>
      <xdr:row>25</xdr:row>
      <xdr:rowOff>100851</xdr:rowOff>
    </xdr:to>
    <xdr:graphicFrame macro="">
      <xdr:nvGraphicFramePr>
        <xdr:cNvPr id="24" name="Chart 23">
          <a:extLst>
            <a:ext uri="{FF2B5EF4-FFF2-40B4-BE49-F238E27FC236}">
              <a16:creationId xmlns:a16="http://schemas.microsoft.com/office/drawing/2014/main" id="{868F2787-E368-48AD-A8F1-CCA3C79ED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212909</xdr:colOff>
      <xdr:row>35</xdr:row>
      <xdr:rowOff>74529</xdr:rowOff>
    </xdr:from>
    <xdr:to>
      <xdr:col>26</xdr:col>
      <xdr:colOff>470646</xdr:colOff>
      <xdr:row>40</xdr:row>
      <xdr:rowOff>160957</xdr:rowOff>
    </xdr:to>
    <mc:AlternateContent xmlns:mc="http://schemas.openxmlformats.org/markup-compatibility/2006">
      <mc:Choice xmlns:a14="http://schemas.microsoft.com/office/drawing/2010/main" Requires="a14">
        <xdr:graphicFrame macro="">
          <xdr:nvGraphicFramePr>
            <xdr:cNvPr id="26" name="Sales_Rep">
              <a:extLst>
                <a:ext uri="{FF2B5EF4-FFF2-40B4-BE49-F238E27FC236}">
                  <a16:creationId xmlns:a16="http://schemas.microsoft.com/office/drawing/2014/main" id="{2CBB4DAC-BA2C-47DB-BBDF-A3198D7CE1BB}"/>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15217382" y="6378347"/>
              <a:ext cx="2086537" cy="98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194941</xdr:colOff>
      <xdr:row>14</xdr:row>
      <xdr:rowOff>26282</xdr:rowOff>
    </xdr:from>
    <xdr:to>
      <xdr:col>26</xdr:col>
      <xdr:colOff>484502</xdr:colOff>
      <xdr:row>20</xdr:row>
      <xdr:rowOff>105537</xdr:rowOff>
    </xdr:to>
    <mc:AlternateContent xmlns:mc="http://schemas.openxmlformats.org/markup-compatibility/2006">
      <mc:Choice xmlns:a14="http://schemas.microsoft.com/office/drawing/2010/main" Requires="a14">
        <xdr:graphicFrame macro="">
          <xdr:nvGraphicFramePr>
            <xdr:cNvPr id="27" name="Quantity_Sold">
              <a:extLst>
                <a:ext uri="{FF2B5EF4-FFF2-40B4-BE49-F238E27FC236}">
                  <a16:creationId xmlns:a16="http://schemas.microsoft.com/office/drawing/2014/main" id="{E2E9C14B-E68C-4944-81E1-E5CCDCF16CEE}"/>
                </a:ext>
              </a:extLst>
            </xdr:cNvPr>
            <xdr:cNvGraphicFramePr/>
          </xdr:nvGraphicFramePr>
          <xdr:xfrm>
            <a:off x="0" y="0"/>
            <a:ext cx="0" cy="0"/>
          </xdr:xfrm>
          <a:graphic>
            <a:graphicData uri="http://schemas.microsoft.com/office/drawing/2010/slicer">
              <sle:slicer xmlns:sle="http://schemas.microsoft.com/office/drawing/2010/slicer" name="Quantity_Sold"/>
            </a:graphicData>
          </a:graphic>
        </xdr:graphicFrame>
      </mc:Choice>
      <mc:Fallback>
        <xdr:sp macro="" textlink="">
          <xdr:nvSpPr>
            <xdr:cNvPr id="0" name=""/>
            <xdr:cNvSpPr>
              <a:spLocks noTextEdit="1"/>
            </xdr:cNvSpPr>
          </xdr:nvSpPr>
          <xdr:spPr>
            <a:xfrm>
              <a:off x="15199414" y="2547809"/>
              <a:ext cx="2118361" cy="1159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207003</xdr:colOff>
      <xdr:row>28</xdr:row>
      <xdr:rowOff>79055</xdr:rowOff>
    </xdr:from>
    <xdr:to>
      <xdr:col>26</xdr:col>
      <xdr:colOff>431122</xdr:colOff>
      <xdr:row>34</xdr:row>
      <xdr:rowOff>147104</xdr:rowOff>
    </xdr:to>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7189DFF2-E461-4CAD-ADA4-6DA0457A44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11476" y="5122110"/>
              <a:ext cx="2052919" cy="1148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202561</xdr:colOff>
      <xdr:row>21</xdr:row>
      <xdr:rowOff>40994</xdr:rowOff>
    </xdr:from>
    <xdr:to>
      <xdr:col>26</xdr:col>
      <xdr:colOff>450884</xdr:colOff>
      <xdr:row>27</xdr:row>
      <xdr:rowOff>144456</xdr:rowOff>
    </xdr:to>
    <mc:AlternateContent xmlns:mc="http://schemas.openxmlformats.org/markup-compatibility/2006">
      <mc:Choice xmlns:a14="http://schemas.microsoft.com/office/drawing/2010/main" Requires="a14">
        <xdr:graphicFrame macro="">
          <xdr:nvGraphicFramePr>
            <xdr:cNvPr id="29" name="Sales_Amount">
              <a:extLst>
                <a:ext uri="{FF2B5EF4-FFF2-40B4-BE49-F238E27FC236}">
                  <a16:creationId xmlns:a16="http://schemas.microsoft.com/office/drawing/2014/main" id="{C18C220E-D0B2-4D5D-BF53-20EED8BCA36D}"/>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15207034" y="3823285"/>
              <a:ext cx="2077123" cy="1184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200768</xdr:colOff>
      <xdr:row>7</xdr:row>
      <xdr:rowOff>152687</xdr:rowOff>
    </xdr:from>
    <xdr:to>
      <xdr:col>26</xdr:col>
      <xdr:colOff>473298</xdr:colOff>
      <xdr:row>13</xdr:row>
      <xdr:rowOff>89036</xdr:rowOff>
    </xdr:to>
    <mc:AlternateContent xmlns:mc="http://schemas.openxmlformats.org/markup-compatibility/2006">
      <mc:Choice xmlns:a14="http://schemas.microsoft.com/office/drawing/2010/main" Requires="a14">
        <xdr:graphicFrame macro="">
          <xdr:nvGraphicFramePr>
            <xdr:cNvPr id="30" name="Product_Category">
              <a:extLst>
                <a:ext uri="{FF2B5EF4-FFF2-40B4-BE49-F238E27FC236}">
                  <a16:creationId xmlns:a16="http://schemas.microsoft.com/office/drawing/2014/main" id="{10A78049-002C-4DD8-9462-6BEE4682177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5205241" y="1413451"/>
              <a:ext cx="2101330" cy="1017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44823</xdr:colOff>
      <xdr:row>7</xdr:row>
      <xdr:rowOff>134469</xdr:rowOff>
    </xdr:from>
    <xdr:to>
      <xdr:col>14</xdr:col>
      <xdr:colOff>498762</xdr:colOff>
      <xdr:row>25</xdr:row>
      <xdr:rowOff>100852</xdr:rowOff>
    </xdr:to>
    <xdr:graphicFrame macro="">
      <xdr:nvGraphicFramePr>
        <xdr:cNvPr id="3" name="Chart 2">
          <a:extLst>
            <a:ext uri="{FF2B5EF4-FFF2-40B4-BE49-F238E27FC236}">
              <a16:creationId xmlns:a16="http://schemas.microsoft.com/office/drawing/2014/main" id="{4564B1DB-08C3-4814-B89E-72EAA30BD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387927</xdr:colOff>
      <xdr:row>26</xdr:row>
      <xdr:rowOff>100853</xdr:rowOff>
    </xdr:from>
    <xdr:to>
      <xdr:col>23</xdr:col>
      <xdr:colOff>54181</xdr:colOff>
      <xdr:row>44</xdr:row>
      <xdr:rowOff>124691</xdr:rowOff>
    </xdr:to>
    <xdr:graphicFrame macro="">
      <xdr:nvGraphicFramePr>
        <xdr:cNvPr id="4" name="Chart 3">
          <a:extLst>
            <a:ext uri="{FF2B5EF4-FFF2-40B4-BE49-F238E27FC236}">
              <a16:creationId xmlns:a16="http://schemas.microsoft.com/office/drawing/2014/main" id="{25D660B9-F886-49F1-A678-203477458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83127</xdr:colOff>
      <xdr:row>26</xdr:row>
      <xdr:rowOff>109409</xdr:rowOff>
    </xdr:from>
    <xdr:to>
      <xdr:col>14</xdr:col>
      <xdr:colOff>99220</xdr:colOff>
      <xdr:row>44</xdr:row>
      <xdr:rowOff>124691</xdr:rowOff>
    </xdr:to>
    <xdr:graphicFrame macro="">
      <xdr:nvGraphicFramePr>
        <xdr:cNvPr id="5" name="Chart 4">
          <a:extLst>
            <a:ext uri="{FF2B5EF4-FFF2-40B4-BE49-F238E27FC236}">
              <a16:creationId xmlns:a16="http://schemas.microsoft.com/office/drawing/2014/main" id="{B5448989-4D58-4561-95F6-B494CCBE9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179295</xdr:colOff>
      <xdr:row>26</xdr:row>
      <xdr:rowOff>78440</xdr:rowOff>
    </xdr:from>
    <xdr:to>
      <xdr:col>8</xdr:col>
      <xdr:colOff>443346</xdr:colOff>
      <xdr:row>44</xdr:row>
      <xdr:rowOff>124691</xdr:rowOff>
    </xdr:to>
    <xdr:graphicFrame macro="">
      <xdr:nvGraphicFramePr>
        <xdr:cNvPr id="6" name="Chart 5">
          <a:extLst>
            <a:ext uri="{FF2B5EF4-FFF2-40B4-BE49-F238E27FC236}">
              <a16:creationId xmlns:a16="http://schemas.microsoft.com/office/drawing/2014/main" id="{418773E1-1D99-4E23-964C-A18FAA308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athiya" refreshedDate="46162.949514120373" createdVersion="8" refreshedVersion="8" minRefreshableVersion="3" recordCount="1000" xr:uid="{E03057E8-CDB8-4CDE-85C5-F562367F8439}">
  <cacheSource type="worksheet">
    <worksheetSource name="Table2"/>
  </cacheSource>
  <cacheFields count="1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3"/>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ount="1000">
        <n v="267.22000000000003"/>
        <n v="4209.4399999999996"/>
        <n v="371.4"/>
        <n v="4467.75"/>
        <n v="692.71"/>
        <n v="1106.51"/>
        <n v="2624.09"/>
        <n v="3964.65"/>
        <n v="1095.44999999999"/>
        <n v="2682.34"/>
        <n v="2517.6"/>
        <n v="1137.44"/>
        <n v="641.09"/>
        <n v="4270.6499999999996"/>
        <n v="2869.6"/>
        <n v="487.65"/>
        <n v="4420.1499999999996"/>
        <n v="5034.3500000000004"/>
        <n v="3209.22"/>
        <n v="2790.1"/>
        <n v="4439.12"/>
        <n v="5074.42"/>
        <n v="4276.99"/>
        <n v="2441.79"/>
        <n v="3360.4"/>
        <n v="3774.65"/>
        <n v="1084.28"/>
        <n v="2558.9499999999998"/>
        <n v="4314.5599999999904"/>
        <n v="3317.75"/>
        <n v="2406.58"/>
        <n v="3764.52"/>
        <n v="814.14"/>
        <n v="2238.65"/>
        <n v="4422.59"/>
        <n v="1550.19"/>
        <n v="1330.84"/>
        <n v="4888.46"/>
        <n v="1545"/>
        <n v="1427.21"/>
        <n v="5166.72"/>
        <n v="3710.92"/>
        <n v="3838.42"/>
        <n v="4417.79"/>
        <n v="853.66"/>
        <n v="3723.66"/>
        <n v="2637.91"/>
        <n v="4469.07"/>
        <n v="3007.47"/>
        <n v="3600.14"/>
        <n v="2519.0700000000002"/>
        <n v="2778.3999999999901"/>
        <n v="4186.9799999999996"/>
        <n v="3339.66"/>
        <n v="3204.01"/>
        <n v="2626.9"/>
        <n v="3152.2799999999902"/>
        <n v="4061.04"/>
        <n v="4361.7"/>
        <n v="3765.31"/>
        <n v="4731.9799999999996"/>
        <n v="4488.37"/>
        <n v="3206.98"/>
        <n v="3454.76"/>
        <n v="5075.4399999999996"/>
        <n v="3256.78"/>
        <n v="4624.1000000000004"/>
        <n v="3657.23"/>
        <n v="2879.24"/>
        <n v="1429.4399999999901"/>
        <n v="2384.38"/>
        <n v="4884.29"/>
        <n v="3599.27"/>
        <n v="3146.6"/>
        <n v="5040.22"/>
        <n v="2977.52"/>
        <n v="2929.32"/>
        <n v="3844.51"/>
        <n v="3931.25"/>
        <n v="1043.45"/>
        <n v="2839.73"/>
        <n v="2742.97"/>
        <n v="2180.83"/>
        <n v="2836.94"/>
        <n v="2168.91"/>
        <n v="1189.3499999999999"/>
        <n v="2527"/>
        <n v="860.95"/>
        <n v="2910.5099999999902"/>
        <n v="4576.72"/>
        <n v="4002.63"/>
        <n v="2147.14"/>
        <n v="531.02"/>
        <n v="1167.33"/>
        <n v="2882.85"/>
        <n v="1492.48"/>
        <n v="2979.64"/>
        <n v="1444.97"/>
        <n v="4720.2700000000004"/>
        <n v="2338.66"/>
        <n v="1715.83"/>
        <n v="4304.7"/>
        <n v="1830.27"/>
        <n v="1067.53"/>
        <n v="3108.3"/>
        <n v="3027.74"/>
        <n v="3745.91"/>
        <n v="1273.98"/>
        <n v="2486.14"/>
        <n v="1875.75"/>
        <n v="918.17"/>
        <n v="4856.2199999999903"/>
        <n v="3729.27"/>
        <n v="1739.45"/>
        <n v="3040.73"/>
        <n v="1475.29"/>
        <n v="4642.46"/>
        <n v="938.04"/>
        <n v="429.29"/>
        <n v="2755.56"/>
        <n v="3096.64"/>
        <n v="3397.36"/>
        <n v="802.43"/>
        <n v="1756.34"/>
        <n v="2766.05"/>
        <n v="1608.76"/>
        <n v="4381.8900000000003"/>
        <n v="693.4"/>
        <n v="2521.77"/>
        <n v="3732"/>
        <n v="1367.76"/>
        <n v="3349.37"/>
        <n v="4273.6000000000004"/>
        <n v="1263.49"/>
        <n v="5088.28"/>
        <n v="3192.37"/>
        <n v="1955.56"/>
        <n v="2504.0299999999902"/>
        <n v="1625.70999999999"/>
        <n v="3750.63"/>
        <n v="4454.97"/>
        <n v="4362.4399999999996"/>
        <n v="4990.33"/>
        <n v="4321.04"/>
        <n v="3183.58"/>
        <n v="1870.88"/>
        <n v="3244.76"/>
        <n v="683.78"/>
        <n v="3946.77"/>
        <n v="2747.81"/>
        <n v="477.67"/>
        <n v="733"/>
        <n v="1993.4"/>
        <n v="3007.53"/>
        <n v="2668.02"/>
        <n v="3565.58"/>
        <n v="2743.09"/>
        <n v="3401.1"/>
        <n v="1201.3900000000001"/>
        <n v="1032.22"/>
        <n v="3080.61"/>
        <n v="2714.12"/>
        <n v="211.18"/>
        <n v="1982.92"/>
        <n v="914.77"/>
        <n v="3027.9199999999901"/>
        <n v="2186.42"/>
        <n v="3200.75"/>
        <n v="4446.45"/>
        <n v="1649.73999999999"/>
        <n v="5088"/>
        <n v="3185.81"/>
        <n v="3192.99"/>
        <n v="3890.3599999999901"/>
        <n v="3449.94"/>
        <n v="2867.36"/>
        <n v="2367.11"/>
        <n v="799.04"/>
        <n v="303.36"/>
        <n v="2027.74"/>
        <n v="2193.2199999999998"/>
        <n v="2241.96"/>
        <n v="991.21"/>
        <n v="3840.24"/>
        <n v="4645.6400000000003"/>
        <n v="4713.68"/>
        <n v="2521.4499999999998"/>
        <n v="3822.98"/>
        <n v="4462.3999999999996"/>
        <n v="2597.67"/>
        <n v="2034.1499999999901"/>
        <n v="5046.51"/>
        <n v="3013.49"/>
        <n v="2848.3999999999901"/>
        <n v="1004.69999999999"/>
        <n v="970.49"/>
        <n v="4331.42"/>
        <n v="3258.45"/>
        <n v="2074.25"/>
        <n v="1271.99"/>
        <n v="3231.08"/>
        <n v="3054.79"/>
        <n v="1382.4299999999901"/>
        <n v="4315.5200000000004"/>
        <n v="792.21"/>
        <n v="2196.3000000000002"/>
        <n v="3714.52"/>
        <n v="1547.35"/>
        <n v="4172.3499999999904"/>
        <n v="3780.88"/>
        <n v="4270.59"/>
        <n v="1107.45"/>
        <n v="856.91"/>
        <n v="1838.21"/>
        <n v="3049.04"/>
        <n v="4017.91"/>
        <n v="4528.7699999999904"/>
        <n v="3945.82"/>
        <n v="4784.28"/>
        <n v="3862.26"/>
        <n v="1576.34"/>
        <n v="1844.07"/>
        <n v="3955.75"/>
        <n v="1389.35"/>
        <n v="557.69000000000005"/>
        <n v="2913.78"/>
        <n v="4177.0600000000004"/>
        <n v="569.63"/>
        <n v="4281.79"/>
        <n v="4548.09"/>
        <n v="2889.67"/>
        <n v="685.1"/>
        <n v="971.57"/>
        <n v="3696.1"/>
        <n v="3740.13"/>
        <n v="4880.7999999999902"/>
        <n v="3337.4"/>
        <n v="863.03"/>
        <n v="865.76"/>
        <n v="3651.42"/>
        <n v="1111.4100000000001"/>
        <n v="1906.6399999999901"/>
        <n v="2529.02"/>
        <n v="404.69"/>
        <n v="1709.71"/>
        <n v="2363.9"/>
        <n v="1482.88"/>
        <n v="828.94999999999902"/>
        <n v="3896.19"/>
        <n v="4262.21"/>
        <n v="1510.3"/>
        <n v="4152.72"/>
        <n v="2254.84"/>
        <n v="2958.55"/>
        <n v="4464.28"/>
        <n v="4166.95"/>
        <n v="4211.25"/>
        <n v="764.54"/>
        <n v="676.66"/>
        <n v="4770.42"/>
        <n v="2437.6999999999998"/>
        <n v="1840.77"/>
        <n v="4096.96"/>
        <n v="4645.3500000000004"/>
        <n v="4625.5599999999904"/>
        <n v="1882.79"/>
        <n v="4551.5999999999904"/>
        <n v="742"/>
        <n v="684.67"/>
        <n v="3198.49"/>
        <n v="753.81"/>
        <n v="1750.3799999999901"/>
        <n v="3609.3399999999901"/>
        <n v="1832.6"/>
        <n v="1286.92"/>
        <n v="1882.57"/>
        <n v="2467.2800000000002"/>
        <n v="2453.35"/>
        <n v="4082.1099999999901"/>
        <n v="4102.72"/>
        <n v="2482.34"/>
        <n v="4382.32"/>
        <n v="715.84"/>
        <n v="1567.78"/>
        <n v="4293.6899999999996"/>
        <n v="2289.27"/>
        <n v="4954.3900000000003"/>
        <n v="2693.33"/>
        <n v="4096.4799999999996"/>
        <n v="2291.17"/>
        <n v="2303.6999999999998"/>
        <n v="2309.4299999999998"/>
        <n v="4082.62"/>
        <n v="3219.58"/>
        <n v="5017.58"/>
        <n v="1528.59"/>
        <n v="958.76"/>
        <n v="2341.4699999999998"/>
        <n v="3202.68"/>
        <n v="4723.2"/>
        <n v="1983.82"/>
        <n v="3388.8399999999901"/>
        <n v="1931.56"/>
        <n v="3246.33"/>
        <n v="4694.21"/>
        <n v="1320.06"/>
        <n v="2121.5500000000002"/>
        <n v="5037.2699999999904"/>
        <n v="4645.17"/>
        <n v="3215"/>
        <n v="2774.86"/>
        <n v="1485.75"/>
        <n v="2682.53"/>
        <n v="4706.7"/>
        <n v="3693.45"/>
        <n v="1717.97"/>
        <n v="1075.8900000000001"/>
        <n v="1729.81"/>
        <n v="1159.06"/>
        <n v="632.43999999999903"/>
        <n v="2188.66"/>
        <n v="808.69"/>
        <n v="1321.18"/>
        <n v="3193.25"/>
        <n v="1170.1599999999901"/>
        <n v="732.69"/>
        <n v="1687.5"/>
        <n v="1438.76"/>
        <n v="2937.57"/>
        <n v="665.07"/>
        <n v="4212.55"/>
        <n v="4641.41"/>
        <n v="3893.6"/>
        <n v="3001.56"/>
        <n v="4633.1000000000004"/>
        <n v="3842.5499999999902"/>
        <n v="167.12"/>
        <n v="2426.9899999999998"/>
        <n v="4533.3100000000004"/>
        <n v="2002.95"/>
        <n v="715.06"/>
        <n v="4116.38"/>
        <n v="4087.91"/>
        <n v="1225.6400000000001"/>
        <n v="2766.51"/>
        <n v="1023.64"/>
        <n v="3817.99"/>
        <n v="1891.02"/>
        <n v="1710.95"/>
        <n v="4572.21"/>
        <n v="2502.7600000000002"/>
        <n v="3730.43"/>
        <n v="2299.37"/>
        <n v="1868.32"/>
        <n v="3255.5299999999902"/>
        <n v="1191.9000000000001"/>
        <n v="2394.1999999999998"/>
        <n v="1420.9"/>
        <n v="3746"/>
        <n v="5186.1899999999996"/>
        <n v="4995.55"/>
        <n v="2646.5299999999902"/>
        <n v="1745.52"/>
        <n v="2282.23"/>
        <n v="4474.5099999999902"/>
        <n v="1180.04"/>
        <n v="5050.46"/>
        <n v="2070.52"/>
        <n v="5088.0199999999904"/>
        <n v="4436.5"/>
        <n v="4199.3"/>
        <n v="1814.63"/>
        <n v="181.62"/>
        <n v="2385.48"/>
        <n v="1558.87"/>
        <n v="677.5"/>
        <n v="2841.68"/>
        <n v="2217.5100000000002"/>
        <n v="3555.35"/>
        <n v="3383.67"/>
        <n v="902.26"/>
        <n v="4949.95"/>
        <n v="1176.17"/>
        <n v="2382.23"/>
        <n v="2483.87"/>
        <n v="4261.1099999999997"/>
        <n v="595.20000000000005"/>
        <n v="2307.64"/>
        <n v="3216.42"/>
        <n v="1174.48"/>
        <n v="3263.49"/>
        <n v="5122.07"/>
        <n v="4998.78"/>
        <n v="533.57999999999902"/>
        <n v="1295.3699999999999"/>
        <n v="2047.13"/>
        <n v="2081.5500000000002"/>
        <n v="1727.15"/>
        <n v="1366.62"/>
        <n v="4785.66"/>
        <n v="5044.74"/>
        <n v="548.25"/>
        <n v="1865.83"/>
        <n v="2441.46"/>
        <n v="1697.1899999999901"/>
        <n v="3409.93"/>
        <n v="3384.5"/>
        <n v="4656.58"/>
        <n v="4061.37"/>
        <n v="3181.22999999999"/>
        <n v="3634.58"/>
        <n v="1535.57"/>
        <n v="3452.14"/>
        <n v="2533.04"/>
        <n v="851.349999999999"/>
        <n v="1515.48999999999"/>
        <n v="1781.09"/>
        <n v="4642.83"/>
        <n v="1582.89"/>
        <n v="1668.95"/>
        <n v="2087.4499999999998"/>
        <n v="3742.12"/>
        <n v="831.13"/>
        <n v="4805.17"/>
        <n v="4431.04"/>
        <n v="3385.6099999999901"/>
        <n v="3430.99"/>
        <n v="316.39"/>
        <n v="1984.34"/>
        <n v="4240.2299999999996"/>
        <n v="445.48"/>
        <n v="1703.02"/>
        <n v="3145.27"/>
        <n v="1805.56"/>
        <n v="4761.1799999999903"/>
        <n v="882.28"/>
        <n v="4212.6499999999996"/>
        <n v="2765.79"/>
        <n v="4100.3999999999996"/>
        <n v="1703.6399999999901"/>
        <n v="2715.0499999999902"/>
        <n v="4658.6400000000003"/>
        <n v="2616.19"/>
        <n v="2044.04"/>
        <n v="2796.8799999999901"/>
        <n v="3702.8399999999901"/>
        <n v="2260.81"/>
        <n v="4752.24"/>
        <n v="1792.83"/>
        <n v="2850.56"/>
        <n v="3947.5"/>
        <n v="3631.75"/>
        <n v="4391.67"/>
        <n v="5184.6400000000003"/>
        <n v="2191.1899999999901"/>
        <n v="1059.82"/>
        <n v="540.38"/>
        <n v="4143.51"/>
        <n v="4818.95"/>
        <n v="1384.3"/>
        <n v="1098.97"/>
        <n v="461.3"/>
        <n v="4358.78"/>
        <n v="2043.82"/>
        <n v="2073.3200000000002"/>
        <n v="2971.75"/>
        <n v="4382.3500000000004"/>
        <n v="3722.38"/>
        <n v="3565.6"/>
        <n v="1258.3"/>
        <n v="2925.86"/>
        <n v="3822.99"/>
        <n v="5287.05"/>
        <n v="1528.15"/>
        <n v="487.03"/>
        <n v="737.49"/>
        <n v="2217.8000000000002"/>
        <n v="4537.9399999999996"/>
        <n v="360.539999999999"/>
        <n v="2714.71"/>
        <n v="1939.04"/>
        <n v="350.38"/>
        <n v="2476.8000000000002"/>
        <n v="1538.79"/>
        <n v="1871.22"/>
        <n v="3603.02"/>
        <n v="2904.06"/>
        <n v="718.72"/>
        <n v="4967.4399999999996"/>
        <n v="3572.61"/>
        <n v="4323.62"/>
        <n v="803.87"/>
        <n v="779.32999999999902"/>
        <n v="498.46"/>
        <n v="1138.49"/>
        <n v="2440.63"/>
        <n v="5036.3999999999996"/>
        <n v="2504.6"/>
        <n v="1505.44"/>
        <n v="3186.15"/>
        <n v="624.71"/>
        <n v="3386.33"/>
        <n v="2953.91"/>
        <n v="4257.5199999999904"/>
        <n v="5191.0200000000004"/>
        <n v="1308.4399999999901"/>
        <n v="2760.6"/>
        <n v="4853.41"/>
        <n v="4362.51"/>
        <n v="2908.0899999999901"/>
        <n v="4976.68"/>
        <n v="700.25"/>
        <n v="4823.5"/>
        <n v="477.67999999999898"/>
        <n v="2864.45"/>
        <n v="4743.03"/>
        <n v="1514.61"/>
        <n v="2438.9699999999998"/>
        <n v="2001.08"/>
        <n v="5119.91"/>
        <n v="4313.45"/>
        <n v="3607.15"/>
        <n v="3177.64"/>
        <n v="4338.67"/>
        <n v="2329.37"/>
        <n v="2429.9299999999998"/>
        <n v="4007.98"/>
        <n v="2257.92"/>
        <n v="492.68"/>
        <n v="907.63"/>
        <n v="820.36999999999898"/>
        <n v="4495.88"/>
        <n v="2604.06"/>
        <n v="3635.02"/>
        <n v="2066.5"/>
        <n v="1543.6899999999901"/>
        <n v="2152.1999999999998"/>
        <n v="4432.3499999999904"/>
        <n v="3480.58"/>
        <n v="4752.88"/>
        <n v="3753.83"/>
        <n v="3193.76"/>
        <n v="3475.29"/>
        <n v="5129.1099999999997"/>
        <n v="4387.01"/>
        <n v="381.91999999999899"/>
        <n v="3045.9399999999901"/>
        <n v="3598.72"/>
        <n v="4255.7299999999996"/>
        <n v="1200.96"/>
        <n v="4357.49"/>
        <n v="4864.34"/>
        <n v="1611.92"/>
        <n v="4647.87"/>
        <n v="759.31999999999903"/>
        <n v="803.71"/>
        <n v="1150.28"/>
        <n v="498.31"/>
        <n v="4345.25"/>
        <n v="768.06"/>
        <n v="1848.69"/>
        <n v="838.97"/>
        <n v="1830.76"/>
        <n v="634.16"/>
        <n v="3759.0099999999902"/>
        <n v="1029.71"/>
        <n v="4523.3599999999997"/>
        <n v="4134.55"/>
        <n v="576.44000000000005"/>
        <n v="4795.42"/>
        <n v="297.69"/>
        <n v="1543.38"/>
        <n v="552.29"/>
        <n v="1980.06"/>
        <n v="2955.5099999999902"/>
        <n v="4288.3"/>
        <n v="2197.42"/>
        <n v="3578.49"/>
        <n v="1040.21"/>
        <n v="3860.56"/>
        <n v="1566.36"/>
        <n v="1086.8899999999901"/>
        <n v="1414.88"/>
        <n v="1320.32"/>
        <n v="2847.76"/>
        <n v="4727.75"/>
        <n v="584.44000000000005"/>
        <n v="3967.6899999999901"/>
        <n v="3508.14"/>
        <n v="4696.8500000000004"/>
        <n v="1624.8899999999901"/>
        <n v="2598.58"/>
        <n v="4711.7"/>
        <n v="3544.02"/>
        <n v="2259.5"/>
        <n v="1126.52"/>
        <n v="1576.69"/>
        <n v="3387.21"/>
        <n v="3830.71"/>
        <n v="944.79"/>
        <n v="3418.19"/>
        <n v="3069.9399999999901"/>
        <n v="3074.59"/>
        <n v="3799.67"/>
        <n v="4461.51"/>
        <n v="1670.36"/>
        <n v="4663.3399999999901"/>
        <n v="1001.77"/>
        <n v="1283.04"/>
        <n v="1482.58"/>
        <n v="752.24"/>
        <n v="1292.9399999999901"/>
        <n v="648.29"/>
        <n v="4280.0600000000004"/>
        <n v="1182"/>
        <n v="4138.83"/>
        <n v="657.44"/>
        <n v="5145.88"/>
        <n v="3712.25"/>
        <n v="528.49"/>
        <n v="3908.37"/>
        <n v="2769.52"/>
        <n v="4205.37"/>
        <n v="2696.78"/>
        <n v="3590.83"/>
        <n v="4142.09"/>
        <n v="2449.64"/>
        <n v="314.93"/>
        <n v="4355.87"/>
        <n v="2305.44"/>
        <n v="2638.96"/>
        <n v="338.94"/>
        <n v="2532.87"/>
        <n v="5245.86"/>
        <n v="1763.69"/>
        <n v="2202.87"/>
        <n v="3929.26"/>
        <n v="4521.57"/>
        <n v="2472.98"/>
        <n v="1942.55"/>
        <n v="4825.92"/>
        <n v="3733.71"/>
        <n v="746.28"/>
        <n v="471.75"/>
        <n v="2943.31"/>
        <n v="1454.41"/>
        <n v="1528.4"/>
        <n v="4545.78"/>
        <n v="799.27"/>
        <n v="3625.35"/>
        <n v="1448.54"/>
        <n v="3839.72"/>
        <n v="3880.53"/>
        <n v="390.89"/>
        <n v="2610.8399999999901"/>
        <n v="1103.03"/>
        <n v="4460.71"/>
        <n v="4710.1000000000004"/>
        <n v="2611.94"/>
        <n v="2598.4"/>
        <n v="1994.01"/>
        <n v="4071.8199999999902"/>
        <n v="2073.88"/>
        <n v="1729.71"/>
        <n v="2617"/>
        <n v="687.6"/>
        <n v="3883.77"/>
        <n v="586.17999999999995"/>
        <n v="3606.0899999999901"/>
        <n v="1072.82"/>
        <n v="1430.45"/>
        <n v="3596.64"/>
        <n v="5243.13"/>
        <n v="4228.18"/>
        <n v="1547.26"/>
        <n v="1236.0999999999999"/>
        <n v="4612.49"/>
        <n v="2626.02"/>
        <n v="1094.92"/>
        <n v="4636.59"/>
        <n v="4275.96"/>
        <n v="5129.1899999999996"/>
        <n v="5038.74"/>
        <n v="4331.4299999999903"/>
        <n v="451.81"/>
        <n v="818.14"/>
        <n v="3286.47"/>
        <n v="2771.02"/>
        <n v="2462.63"/>
        <n v="2056.35"/>
        <n v="2540.4199999999901"/>
        <n v="2994.74"/>
        <n v="260.73"/>
        <n v="1567.92"/>
        <n v="3062.22"/>
        <n v="3836.52"/>
        <n v="993.24"/>
        <n v="3023.97"/>
        <n v="4068.43"/>
        <n v="2558.6799999999998"/>
        <n v="675.91"/>
        <n v="2696.02"/>
        <n v="1545.02"/>
        <n v="4984.3900000000003"/>
        <n v="817.36"/>
        <n v="3563.97"/>
        <n v="457.84"/>
        <n v="2439.4899999999998"/>
        <n v="3254.5499999999902"/>
        <n v="1636.14"/>
        <n v="2740.93"/>
        <n v="884.51"/>
        <n v="1609.94"/>
        <n v="3553.27"/>
        <n v="1862.88"/>
        <n v="4879.8799999999901"/>
        <n v="3273.22"/>
        <n v="2494.48"/>
        <n v="613.09"/>
        <n v="2840.14"/>
        <n v="4076.77"/>
        <n v="1844.8"/>
        <n v="4384.8500000000004"/>
        <n v="1751.24"/>
        <n v="4495.13"/>
        <n v="842.46"/>
        <n v="4386.82"/>
        <n v="2707.1099999999901"/>
        <n v="1948.46"/>
        <n v="1486.29"/>
        <n v="2255.0499999999902"/>
        <n v="5165.09"/>
        <n v="1258.6299999999901"/>
        <n v="1024.31"/>
        <n v="3381.22"/>
        <n v="2723.13"/>
        <n v="2684.83"/>
        <n v="3711.47"/>
        <n v="1687.83"/>
        <n v="5043.3599999999997"/>
        <n v="2490.4699999999998"/>
        <n v="863.81"/>
        <n v="3988.7"/>
        <n v="3723.21"/>
        <n v="1964.15"/>
        <n v="3465.79"/>
        <n v="1266.25"/>
        <n v="2626.3199999999902"/>
        <n v="4879.72"/>
        <n v="876.46"/>
        <n v="2211.17"/>
        <n v="4269.0199999999904"/>
        <n v="4985.75"/>
        <n v="2319.62"/>
        <n v="2709.4"/>
        <n v="3163.7"/>
        <n v="4675.8999999999996"/>
        <n v="4446.8999999999996"/>
        <n v="1336.37"/>
        <n v="2512.8399999999901"/>
        <n v="2654.65"/>
        <n v="4163.68"/>
        <n v="3375.79"/>
        <n v="3391.46"/>
        <n v="5402.28"/>
        <n v="488.23"/>
        <n v="1485.34"/>
        <n v="2246.2399999999998"/>
        <n v="2147.8000000000002"/>
        <n v="436.53"/>
        <n v="735.95"/>
        <n v="3513.74"/>
        <n v="4724.7"/>
        <n v="3083.06"/>
        <n v="3133.55"/>
        <n v="1352.11"/>
        <n v="4045.3399999999901"/>
        <n v="4234.92"/>
        <n v="3218.8999999999901"/>
        <n v="1437.12"/>
        <n v="987.41"/>
        <n v="806.14"/>
        <n v="3239.74"/>
        <n v="4358.37"/>
        <n v="4475.1899999999996"/>
        <n v="2707.25"/>
        <n v="4082.7599999999902"/>
        <n v="4869.5"/>
        <n v="1596.6499999999901"/>
        <n v="2116.7399999999998"/>
        <n v="5011.4299999999903"/>
        <n v="2036.2"/>
        <n v="4820.2999999999902"/>
        <n v="5107.43"/>
        <n v="3781.4"/>
        <n v="4117.88"/>
        <n v="4147.1099999999997"/>
        <n v="3964.63"/>
        <n v="1798.02"/>
        <n v="612.46"/>
        <n v="2220.9"/>
        <n v="3465.35"/>
        <n v="822.39"/>
        <n v="351.6"/>
        <n v="878.09"/>
        <n v="4004"/>
        <n v="5316.13"/>
        <n v="5309.32"/>
        <n v="2600.9299999999998"/>
        <n v="4405.8"/>
        <n v="4003.96"/>
        <n v="2568.13"/>
        <n v="3224.8399999999901"/>
        <n v="999.18"/>
        <n v="5026.1899999999996"/>
        <n v="2091.23"/>
        <n v="2475.56"/>
        <n v="3483.1499999999901"/>
        <n v="1862.61"/>
        <n v="1575.59"/>
        <n v="3503.11"/>
        <n v="565.62"/>
        <n v="4003.5"/>
        <n v="3081.04"/>
        <n v="3198.54"/>
        <n v="3222.65"/>
        <n v="2838.27"/>
        <n v="3307.75"/>
        <n v="3659.42"/>
        <n v="4188.66"/>
        <n v="3930.06"/>
        <n v="4820.2"/>
        <n v="1462.19"/>
        <n v="2079.64"/>
        <n v="4975.2299999999996"/>
        <n v="2321.87"/>
        <n v="803.49"/>
        <n v="2860.4199999999901"/>
        <n v="934.04"/>
        <n v="1175.21999999999"/>
        <n v="5296.65"/>
        <n v="3081.5"/>
        <n v="1510.4299999999901"/>
        <n v="5227.93"/>
        <n v="4973.38"/>
        <n v="2596.6099999999901"/>
        <n v="1441.88"/>
        <n v="4647.28"/>
        <n v="3813.48"/>
        <n v="3557.38"/>
        <n v="4695.54"/>
        <n v="3672.89"/>
        <n v="1674.97"/>
        <n v="3781.5499999999902"/>
        <n v="1829.1599999999901"/>
        <n v="3891.62"/>
        <n v="3159.88"/>
        <n v="800.6"/>
        <n v="2872.8"/>
        <n v="1935.25"/>
        <n v="2082.52"/>
        <n v="3231.32"/>
        <n v="2045.53"/>
        <n v="4055.44"/>
        <n v="446.11"/>
        <n v="3785.91"/>
        <n v="4258.84"/>
        <n v="3778.94"/>
        <n v="2658.06"/>
        <n v="5080.74"/>
        <n v="1972.62"/>
        <n v="175.29"/>
        <n v="2605.3599999999901"/>
        <n v="503.36"/>
        <n v="5079.6499999999996"/>
        <n v="1355.44"/>
        <n v="4393.68"/>
        <n v="3915.41"/>
        <n v="1265.6600000000001"/>
        <n v="3564.19"/>
        <n v="666.64"/>
        <n v="2462.34"/>
        <n v="385.83"/>
        <n v="4879.1499999999996"/>
        <n v="5088.0600000000004"/>
        <n v="1306.02"/>
        <n v="1424.1699999999901"/>
        <n v="3892.73"/>
        <n v="1705.71"/>
        <n v="4884.12"/>
        <n v="3104.43"/>
        <n v="1935.29"/>
        <n v="4320.93"/>
        <n v="2738.68"/>
        <n v="4925.17"/>
        <n v="4829.5200000000004"/>
        <n v="1177.75"/>
        <n v="258.91999999999899"/>
        <n v="5079.68"/>
        <n v="4557.5600000000004"/>
        <n v="336.37"/>
        <n v="4294.8500000000004"/>
        <n v="2525.27"/>
        <n v="1758.98"/>
        <n v="4801.0600000000004"/>
        <n v="1164.4100000000001"/>
        <n v="4868.95"/>
        <n v="1189.22"/>
        <n v="3263.96"/>
        <n v="1408.4"/>
        <n v="2976.0099999999902"/>
        <n v="3552.6299999999901"/>
        <n v="1065.55"/>
        <n v="2644.54"/>
        <n v="2457.29"/>
        <n v="757.26"/>
        <n v="4230"/>
        <n v="1951.24"/>
        <n v="3193.92"/>
        <n v="3042.73"/>
        <n v="3036.18"/>
        <n v="956.16"/>
        <n v="2173.4699999999998"/>
        <n v="2581"/>
        <n v="4076.96"/>
        <n v="4226.5600000000004"/>
        <n v="3027.0099999999902"/>
        <n v="909.88"/>
        <n v="1464.71"/>
        <n v="878.43"/>
        <n v="682.24"/>
        <n v="2075.35"/>
        <n v="1271.45"/>
        <n v="1466.1799999999901"/>
        <n v="678.04"/>
        <n v="234.63"/>
        <n v="1004.08"/>
        <n v="1128.9100000000001"/>
        <n v="2263.3599999999901"/>
        <n v="2961.56"/>
        <n v="1143.02"/>
        <n v="2475.9299999999998"/>
        <n v="2169.86"/>
        <n v="1329.26"/>
        <n v="526.14"/>
        <n v="2584.35"/>
        <n v="3820.3"/>
        <n v="1669.94999999999"/>
        <n v="1067.6600000000001"/>
        <n v="4506.8099999999904"/>
        <n v="1675.35"/>
        <n v="1454.68"/>
        <n v="4387.99"/>
        <n v="4576.5"/>
        <n v="2365.35"/>
        <n v="2568.73"/>
        <n v="1586.29"/>
        <n v="675.54"/>
        <n v="2929.45"/>
        <n v="839.92"/>
        <n v="2578.7999999999902"/>
        <n v="4747.07"/>
        <n v="5253.07"/>
        <n v="1511.26"/>
        <n v="3423.66"/>
        <n v="2661.54"/>
        <n v="4693.8999999999996"/>
        <n v="1533.09"/>
        <n v="219.07999999999899"/>
        <n v="1115.24"/>
        <n v="2185.42"/>
        <n v="1647.25"/>
        <n v="4272.92"/>
        <n v="3824.1"/>
        <n v="1619.69"/>
        <n v="2333.19"/>
        <n v="686.25"/>
        <n v="4794.0099999999902"/>
        <n v="4758.1099999999997"/>
        <n v="5118.83"/>
        <n v="4629.9799999999996"/>
        <n v="1214.56"/>
        <n v="423.13"/>
        <n v="3125.01"/>
        <n v="4958.78"/>
        <n v="1399.09"/>
        <n v="517.17999999999995"/>
        <n v="4323.71"/>
        <n v="641.17999999999995"/>
        <n v="2270.9899999999998"/>
        <n v="3481.72"/>
        <n v="1284.3599999999999"/>
        <n v="812.91"/>
        <n v="3998.91"/>
        <n v="3304.15"/>
        <n v="5442.15"/>
        <n v="1856.3999999999901"/>
        <n v="438.27"/>
        <n v="3743.39"/>
        <n v="2926.68"/>
      </sharedItems>
    </cacheField>
    <cacheField name="Payment_Method" numFmtId="0">
      <sharedItems/>
    </cacheField>
    <cacheField name="Sales_Channel" numFmtId="0">
      <sharedItems count="2">
        <s v="Online"/>
        <s v="Retail"/>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35449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x v="0"/>
    <x v="0"/>
    <n v="152.75"/>
    <x v="0"/>
    <s v="Cash"/>
    <x v="0"/>
  </r>
  <r>
    <n v="1093"/>
    <x v="1"/>
    <x v="0"/>
    <x v="1"/>
    <x v="1"/>
    <x v="1"/>
    <x v="0"/>
    <n v="3816.39"/>
    <x v="1"/>
    <s v="Cash"/>
    <x v="1"/>
  </r>
  <r>
    <n v="1015"/>
    <x v="2"/>
    <x v="1"/>
    <x v="2"/>
    <x v="2"/>
    <x v="2"/>
    <x v="1"/>
    <n v="261.56"/>
    <x v="2"/>
    <s v="Bank Transfer"/>
    <x v="1"/>
  </r>
  <r>
    <n v="1072"/>
    <x v="3"/>
    <x v="0"/>
    <x v="2"/>
    <x v="3"/>
    <x v="3"/>
    <x v="2"/>
    <n v="4330.03"/>
    <x v="3"/>
    <s v="Credit Card"/>
    <x v="1"/>
  </r>
  <r>
    <n v="1061"/>
    <x v="4"/>
    <x v="2"/>
    <x v="3"/>
    <x v="4"/>
    <x v="4"/>
    <x v="3"/>
    <n v="637.37"/>
    <x v="4"/>
    <s v="Credit Card"/>
    <x v="0"/>
  </r>
  <r>
    <n v="1021"/>
    <x v="5"/>
    <x v="2"/>
    <x v="1"/>
    <x v="5"/>
    <x v="5"/>
    <x v="1"/>
    <n v="900.79"/>
    <x v="5"/>
    <s v="Cash"/>
    <x v="0"/>
  </r>
  <r>
    <n v="1083"/>
    <x v="6"/>
    <x v="0"/>
    <x v="1"/>
    <x v="6"/>
    <x v="6"/>
    <x v="0"/>
    <n v="2408.81"/>
    <x v="6"/>
    <s v="Cash"/>
    <x v="0"/>
  </r>
  <r>
    <n v="1087"/>
    <x v="7"/>
    <x v="3"/>
    <x v="2"/>
    <x v="7"/>
    <x v="7"/>
    <x v="0"/>
    <n v="3702.51"/>
    <x v="7"/>
    <s v="Bank Transfer"/>
    <x v="0"/>
  </r>
  <r>
    <n v="1075"/>
    <x v="8"/>
    <x v="1"/>
    <x v="2"/>
    <x v="8"/>
    <x v="2"/>
    <x v="0"/>
    <n v="738.06"/>
    <x v="8"/>
    <s v="Bank Transfer"/>
    <x v="0"/>
  </r>
  <r>
    <n v="1075"/>
    <x v="9"/>
    <x v="2"/>
    <x v="1"/>
    <x v="9"/>
    <x v="0"/>
    <x v="2"/>
    <n v="2228.35"/>
    <x v="9"/>
    <s v="Bank Transfer"/>
    <x v="0"/>
  </r>
  <r>
    <n v="1088"/>
    <x v="10"/>
    <x v="3"/>
    <x v="0"/>
    <x v="10"/>
    <x v="4"/>
    <x v="0"/>
    <n v="2440.11"/>
    <x v="10"/>
    <s v="Bank Transfer"/>
    <x v="1"/>
  </r>
  <r>
    <n v="1100"/>
    <x v="11"/>
    <x v="0"/>
    <x v="1"/>
    <x v="11"/>
    <x v="8"/>
    <x v="1"/>
    <n v="1100.81"/>
    <x v="11"/>
    <s v="Bank Transfer"/>
    <x v="0"/>
  </r>
  <r>
    <n v="1024"/>
    <x v="12"/>
    <x v="3"/>
    <x v="1"/>
    <x v="12"/>
    <x v="9"/>
    <x v="1"/>
    <n v="622.01"/>
    <x v="12"/>
    <s v="Bank Transfer"/>
    <x v="1"/>
  </r>
  <r>
    <n v="1003"/>
    <x v="13"/>
    <x v="4"/>
    <x v="2"/>
    <x v="13"/>
    <x v="2"/>
    <x v="0"/>
    <n v="4190.28"/>
    <x v="13"/>
    <s v="Cash"/>
    <x v="0"/>
  </r>
  <r>
    <n v="1022"/>
    <x v="14"/>
    <x v="2"/>
    <x v="2"/>
    <x v="14"/>
    <x v="9"/>
    <x v="1"/>
    <n v="2537.1999999999998"/>
    <x v="14"/>
    <s v="Bank Transfer"/>
    <x v="1"/>
  </r>
  <r>
    <n v="1053"/>
    <x v="15"/>
    <x v="0"/>
    <x v="0"/>
    <x v="15"/>
    <x v="10"/>
    <x v="0"/>
    <n v="121.19"/>
    <x v="15"/>
    <s v="Cash"/>
    <x v="1"/>
  </r>
  <r>
    <n v="1002"/>
    <x v="16"/>
    <x v="1"/>
    <x v="0"/>
    <x v="16"/>
    <x v="1"/>
    <x v="0"/>
    <n v="4024.76"/>
    <x v="16"/>
    <s v="Cash"/>
    <x v="0"/>
  </r>
  <r>
    <n v="1088"/>
    <x v="17"/>
    <x v="0"/>
    <x v="3"/>
    <x v="17"/>
    <x v="11"/>
    <x v="3"/>
    <n v="4904.93"/>
    <x v="17"/>
    <s v="Credit Card"/>
    <x v="1"/>
  </r>
  <r>
    <n v="1030"/>
    <x v="18"/>
    <x v="1"/>
    <x v="1"/>
    <x v="18"/>
    <x v="12"/>
    <x v="2"/>
    <n v="3049.33"/>
    <x v="18"/>
    <s v="Cash"/>
    <x v="0"/>
  </r>
  <r>
    <n v="1038"/>
    <x v="19"/>
    <x v="0"/>
    <x v="2"/>
    <x v="19"/>
    <x v="13"/>
    <x v="2"/>
    <n v="2543.36"/>
    <x v="19"/>
    <s v="Cash"/>
    <x v="0"/>
  </r>
  <r>
    <n v="1002"/>
    <x v="20"/>
    <x v="3"/>
    <x v="0"/>
    <x v="20"/>
    <x v="14"/>
    <x v="3"/>
    <n v="4398.16"/>
    <x v="20"/>
    <s v="Bank Transfer"/>
    <x v="0"/>
  </r>
  <r>
    <n v="1064"/>
    <x v="21"/>
    <x v="3"/>
    <x v="3"/>
    <x v="21"/>
    <x v="15"/>
    <x v="3"/>
    <n v="4764.96"/>
    <x v="21"/>
    <s v="Cash"/>
    <x v="0"/>
  </r>
  <r>
    <n v="1060"/>
    <x v="22"/>
    <x v="3"/>
    <x v="3"/>
    <x v="22"/>
    <x v="16"/>
    <x v="2"/>
    <n v="3784.96"/>
    <x v="22"/>
    <s v="Bank Transfer"/>
    <x v="1"/>
  </r>
  <r>
    <n v="1021"/>
    <x v="23"/>
    <x v="4"/>
    <x v="2"/>
    <x v="23"/>
    <x v="17"/>
    <x v="0"/>
    <n v="2254.9899999999998"/>
    <x v="23"/>
    <s v="Bank Transfer"/>
    <x v="0"/>
  </r>
  <r>
    <n v="1033"/>
    <x v="24"/>
    <x v="1"/>
    <x v="2"/>
    <x v="24"/>
    <x v="18"/>
    <x v="0"/>
    <n v="2981.5"/>
    <x v="24"/>
    <s v="Bank Transfer"/>
    <x v="1"/>
  </r>
  <r>
    <n v="1076"/>
    <x v="22"/>
    <x v="3"/>
    <x v="3"/>
    <x v="25"/>
    <x v="2"/>
    <x v="2"/>
    <n v="3519.63"/>
    <x v="25"/>
    <s v="Credit Card"/>
    <x v="1"/>
  </r>
  <r>
    <n v="1058"/>
    <x v="25"/>
    <x v="4"/>
    <x v="0"/>
    <x v="26"/>
    <x v="19"/>
    <x v="0"/>
    <n v="1011.65"/>
    <x v="26"/>
    <s v="Bank Transfer"/>
    <x v="1"/>
  </r>
  <r>
    <n v="1022"/>
    <x v="26"/>
    <x v="1"/>
    <x v="3"/>
    <x v="27"/>
    <x v="14"/>
    <x v="3"/>
    <n v="2263.65"/>
    <x v="27"/>
    <s v="Cash"/>
    <x v="0"/>
  </r>
  <r>
    <n v="1089"/>
    <x v="27"/>
    <x v="0"/>
    <x v="1"/>
    <x v="28"/>
    <x v="20"/>
    <x v="0"/>
    <n v="4157.62"/>
    <x v="28"/>
    <s v="Bank Transfer"/>
    <x v="1"/>
  </r>
  <r>
    <n v="1049"/>
    <x v="28"/>
    <x v="4"/>
    <x v="1"/>
    <x v="29"/>
    <x v="21"/>
    <x v="0"/>
    <n v="3290.89"/>
    <x v="29"/>
    <s v="Bank Transfer"/>
    <x v="0"/>
  </r>
  <r>
    <n v="1091"/>
    <x v="29"/>
    <x v="2"/>
    <x v="2"/>
    <x v="30"/>
    <x v="16"/>
    <x v="1"/>
    <n v="2085.46"/>
    <x v="30"/>
    <s v="Bank Transfer"/>
    <x v="1"/>
  </r>
  <r>
    <n v="1059"/>
    <x v="30"/>
    <x v="4"/>
    <x v="0"/>
    <x v="31"/>
    <x v="22"/>
    <x v="1"/>
    <n v="3333.64"/>
    <x v="31"/>
    <s v="Credit Card"/>
    <x v="0"/>
  </r>
  <r>
    <n v="1042"/>
    <x v="31"/>
    <x v="4"/>
    <x v="0"/>
    <x v="32"/>
    <x v="23"/>
    <x v="1"/>
    <n v="635.20000000000005"/>
    <x v="32"/>
    <s v="Cash"/>
    <x v="0"/>
  </r>
  <r>
    <n v="1092"/>
    <x v="32"/>
    <x v="1"/>
    <x v="1"/>
    <x v="33"/>
    <x v="24"/>
    <x v="0"/>
    <n v="2037.41"/>
    <x v="33"/>
    <s v="Credit Card"/>
    <x v="0"/>
  </r>
  <r>
    <n v="1060"/>
    <x v="14"/>
    <x v="0"/>
    <x v="3"/>
    <x v="34"/>
    <x v="25"/>
    <x v="2"/>
    <n v="3975.99"/>
    <x v="34"/>
    <s v="Cash"/>
    <x v="0"/>
  </r>
  <r>
    <n v="1080"/>
    <x v="33"/>
    <x v="2"/>
    <x v="2"/>
    <x v="35"/>
    <x v="14"/>
    <x v="3"/>
    <n v="1141.52"/>
    <x v="35"/>
    <s v="Credit Card"/>
    <x v="1"/>
  </r>
  <r>
    <n v="1015"/>
    <x v="34"/>
    <x v="3"/>
    <x v="3"/>
    <x v="36"/>
    <x v="5"/>
    <x v="0"/>
    <n v="970.51"/>
    <x v="36"/>
    <s v="Cash"/>
    <x v="1"/>
  </r>
  <r>
    <n v="1062"/>
    <x v="7"/>
    <x v="3"/>
    <x v="3"/>
    <x v="37"/>
    <x v="13"/>
    <x v="2"/>
    <n v="4756.55"/>
    <x v="37"/>
    <s v="Credit Card"/>
    <x v="0"/>
  </r>
  <r>
    <n v="1062"/>
    <x v="35"/>
    <x v="4"/>
    <x v="3"/>
    <x v="38"/>
    <x v="26"/>
    <x v="0"/>
    <n v="1088.99"/>
    <x v="38"/>
    <s v="Bank Transfer"/>
    <x v="1"/>
  </r>
  <r>
    <n v="1047"/>
    <x v="36"/>
    <x v="1"/>
    <x v="0"/>
    <x v="39"/>
    <x v="19"/>
    <x v="3"/>
    <n v="1341.55"/>
    <x v="39"/>
    <s v="Credit Card"/>
    <x v="0"/>
  </r>
  <r>
    <n v="1062"/>
    <x v="37"/>
    <x v="1"/>
    <x v="1"/>
    <x v="40"/>
    <x v="27"/>
    <x v="0"/>
    <n v="4849.6000000000004"/>
    <x v="40"/>
    <s v="Credit Card"/>
    <x v="0"/>
  </r>
  <r>
    <n v="1051"/>
    <x v="21"/>
    <x v="3"/>
    <x v="0"/>
    <x v="41"/>
    <x v="28"/>
    <x v="3"/>
    <n v="3686.81"/>
    <x v="41"/>
    <s v="Bank Transfer"/>
    <x v="1"/>
  </r>
  <r>
    <n v="1055"/>
    <x v="38"/>
    <x v="2"/>
    <x v="1"/>
    <x v="42"/>
    <x v="29"/>
    <x v="0"/>
    <n v="3513"/>
    <x v="42"/>
    <s v="Bank Transfer"/>
    <x v="0"/>
  </r>
  <r>
    <n v="1064"/>
    <x v="39"/>
    <x v="0"/>
    <x v="2"/>
    <x v="43"/>
    <x v="29"/>
    <x v="3"/>
    <n v="4271.99"/>
    <x v="43"/>
    <s v="Cash"/>
    <x v="0"/>
  </r>
  <r>
    <n v="1003"/>
    <x v="40"/>
    <x v="2"/>
    <x v="2"/>
    <x v="44"/>
    <x v="30"/>
    <x v="0"/>
    <n v="623.32000000000005"/>
    <x v="44"/>
    <s v="Cash"/>
    <x v="0"/>
  </r>
  <r>
    <n v="1051"/>
    <x v="41"/>
    <x v="0"/>
    <x v="3"/>
    <x v="45"/>
    <x v="26"/>
    <x v="3"/>
    <n v="3544.48"/>
    <x v="45"/>
    <s v="Cash"/>
    <x v="0"/>
  </r>
  <r>
    <n v="1007"/>
    <x v="42"/>
    <x v="3"/>
    <x v="1"/>
    <x v="46"/>
    <x v="21"/>
    <x v="1"/>
    <n v="2543.2600000000002"/>
    <x v="46"/>
    <s v="Credit Card"/>
    <x v="0"/>
  </r>
  <r>
    <n v="1021"/>
    <x v="43"/>
    <x v="0"/>
    <x v="1"/>
    <x v="47"/>
    <x v="8"/>
    <x v="0"/>
    <n v="4154.3"/>
    <x v="47"/>
    <s v="Cash"/>
    <x v="1"/>
  </r>
  <r>
    <n v="1073"/>
    <x v="38"/>
    <x v="1"/>
    <x v="1"/>
    <x v="48"/>
    <x v="11"/>
    <x v="0"/>
    <n v="2565.3000000000002"/>
    <x v="48"/>
    <s v="Credit Card"/>
    <x v="1"/>
  </r>
  <r>
    <n v="1039"/>
    <x v="44"/>
    <x v="4"/>
    <x v="3"/>
    <x v="49"/>
    <x v="31"/>
    <x v="2"/>
    <n v="3120.19"/>
    <x v="49"/>
    <s v="Credit Card"/>
    <x v="1"/>
  </r>
  <r>
    <n v="1018"/>
    <x v="45"/>
    <x v="4"/>
    <x v="3"/>
    <x v="50"/>
    <x v="23"/>
    <x v="2"/>
    <n v="2414.8200000000002"/>
    <x v="50"/>
    <s v="Cash"/>
    <x v="0"/>
  </r>
  <r>
    <n v="1004"/>
    <x v="46"/>
    <x v="3"/>
    <x v="2"/>
    <x v="51"/>
    <x v="3"/>
    <x v="3"/>
    <n v="2416.89"/>
    <x v="51"/>
    <s v="Cash"/>
    <x v="0"/>
  </r>
  <r>
    <n v="1089"/>
    <x v="47"/>
    <x v="1"/>
    <x v="0"/>
    <x v="52"/>
    <x v="8"/>
    <x v="0"/>
    <n v="3851.45"/>
    <x v="52"/>
    <s v="Credit Card"/>
    <x v="0"/>
  </r>
  <r>
    <n v="1060"/>
    <x v="48"/>
    <x v="2"/>
    <x v="1"/>
    <x v="53"/>
    <x v="17"/>
    <x v="3"/>
    <n v="3161.4"/>
    <x v="53"/>
    <s v="Bank Transfer"/>
    <x v="0"/>
  </r>
  <r>
    <n v="1014"/>
    <x v="49"/>
    <x v="1"/>
    <x v="1"/>
    <x v="54"/>
    <x v="1"/>
    <x v="1"/>
    <n v="3184.65"/>
    <x v="54"/>
    <s v="Bank Transfer"/>
    <x v="0"/>
  </r>
  <r>
    <n v="1009"/>
    <x v="40"/>
    <x v="4"/>
    <x v="0"/>
    <x v="55"/>
    <x v="19"/>
    <x v="2"/>
    <n v="2278.9"/>
    <x v="55"/>
    <s v="Credit Card"/>
    <x v="0"/>
  </r>
  <r>
    <n v="1090"/>
    <x v="50"/>
    <x v="4"/>
    <x v="1"/>
    <x v="56"/>
    <x v="5"/>
    <x v="3"/>
    <n v="2678.99"/>
    <x v="56"/>
    <s v="Cash"/>
    <x v="1"/>
  </r>
  <r>
    <n v="1053"/>
    <x v="51"/>
    <x v="1"/>
    <x v="3"/>
    <x v="57"/>
    <x v="6"/>
    <x v="3"/>
    <n v="3741.3"/>
    <x v="57"/>
    <s v="Credit Card"/>
    <x v="0"/>
  </r>
  <r>
    <n v="1002"/>
    <x v="52"/>
    <x v="1"/>
    <x v="3"/>
    <x v="58"/>
    <x v="9"/>
    <x v="2"/>
    <n v="4138.41"/>
    <x v="58"/>
    <s v="Credit Card"/>
    <x v="1"/>
  </r>
  <r>
    <n v="1084"/>
    <x v="53"/>
    <x v="4"/>
    <x v="1"/>
    <x v="59"/>
    <x v="9"/>
    <x v="0"/>
    <n v="3497.98"/>
    <x v="59"/>
    <s v="Cash"/>
    <x v="0"/>
  </r>
  <r>
    <n v="1092"/>
    <x v="54"/>
    <x v="2"/>
    <x v="3"/>
    <x v="60"/>
    <x v="11"/>
    <x v="3"/>
    <n v="4624.16"/>
    <x v="60"/>
    <s v="Bank Transfer"/>
    <x v="1"/>
  </r>
  <r>
    <n v="1060"/>
    <x v="55"/>
    <x v="3"/>
    <x v="3"/>
    <x v="61"/>
    <x v="18"/>
    <x v="2"/>
    <n v="4110.6000000000004"/>
    <x v="61"/>
    <s v="Credit Card"/>
    <x v="0"/>
  </r>
  <r>
    <n v="1071"/>
    <x v="56"/>
    <x v="3"/>
    <x v="1"/>
    <x v="62"/>
    <x v="32"/>
    <x v="0"/>
    <n v="2831.23"/>
    <x v="62"/>
    <s v="Bank Transfer"/>
    <x v="1"/>
  </r>
  <r>
    <n v="1044"/>
    <x v="57"/>
    <x v="1"/>
    <x v="2"/>
    <x v="63"/>
    <x v="33"/>
    <x v="1"/>
    <n v="3373.46"/>
    <x v="63"/>
    <s v="Bank Transfer"/>
    <x v="1"/>
  </r>
  <r>
    <n v="1008"/>
    <x v="58"/>
    <x v="3"/>
    <x v="0"/>
    <x v="64"/>
    <x v="34"/>
    <x v="2"/>
    <n v="4635.2299999999996"/>
    <x v="64"/>
    <s v="Cash"/>
    <x v="0"/>
  </r>
  <r>
    <n v="1047"/>
    <x v="59"/>
    <x v="4"/>
    <x v="3"/>
    <x v="65"/>
    <x v="35"/>
    <x v="3"/>
    <n v="3114.88"/>
    <x v="65"/>
    <s v="Credit Card"/>
    <x v="0"/>
  </r>
  <r>
    <n v="1035"/>
    <x v="60"/>
    <x v="4"/>
    <x v="2"/>
    <x v="66"/>
    <x v="27"/>
    <x v="1"/>
    <n v="4132.79"/>
    <x v="66"/>
    <s v="Credit Card"/>
    <x v="1"/>
  </r>
  <r>
    <n v="1078"/>
    <x v="10"/>
    <x v="1"/>
    <x v="3"/>
    <x v="67"/>
    <x v="29"/>
    <x v="0"/>
    <n v="3459.61"/>
    <x v="67"/>
    <s v="Bank Transfer"/>
    <x v="0"/>
  </r>
  <r>
    <n v="1081"/>
    <x v="61"/>
    <x v="1"/>
    <x v="3"/>
    <x v="68"/>
    <x v="36"/>
    <x v="0"/>
    <n v="2782.08"/>
    <x v="68"/>
    <s v="Bank Transfer"/>
    <x v="0"/>
  </r>
  <r>
    <n v="1036"/>
    <x v="62"/>
    <x v="1"/>
    <x v="0"/>
    <x v="69"/>
    <x v="37"/>
    <x v="2"/>
    <n v="1247.0999999999999"/>
    <x v="69"/>
    <s v="Cash"/>
    <x v="0"/>
  </r>
  <r>
    <n v="1050"/>
    <x v="63"/>
    <x v="2"/>
    <x v="3"/>
    <x v="70"/>
    <x v="22"/>
    <x v="2"/>
    <n v="2158.69"/>
    <x v="70"/>
    <s v="Bank Transfer"/>
    <x v="1"/>
  </r>
  <r>
    <n v="1004"/>
    <x v="64"/>
    <x v="3"/>
    <x v="0"/>
    <x v="71"/>
    <x v="23"/>
    <x v="2"/>
    <n v="4840.33"/>
    <x v="71"/>
    <s v="Cash"/>
    <x v="0"/>
  </r>
  <r>
    <n v="1002"/>
    <x v="65"/>
    <x v="1"/>
    <x v="0"/>
    <x v="72"/>
    <x v="38"/>
    <x v="0"/>
    <n v="3305.94"/>
    <x v="72"/>
    <s v="Credit Card"/>
    <x v="1"/>
  </r>
  <r>
    <n v="1006"/>
    <x v="66"/>
    <x v="0"/>
    <x v="0"/>
    <x v="73"/>
    <x v="37"/>
    <x v="1"/>
    <n v="2843.76"/>
    <x v="73"/>
    <s v="Cash"/>
    <x v="1"/>
  </r>
  <r>
    <n v="1054"/>
    <x v="67"/>
    <x v="0"/>
    <x v="2"/>
    <x v="74"/>
    <x v="9"/>
    <x v="0"/>
    <n v="4668.1400000000003"/>
    <x v="74"/>
    <s v="Bank Transfer"/>
    <x v="0"/>
  </r>
  <r>
    <n v="1004"/>
    <x v="68"/>
    <x v="4"/>
    <x v="1"/>
    <x v="75"/>
    <x v="39"/>
    <x v="3"/>
    <n v="2953.23"/>
    <x v="75"/>
    <s v="Credit Card"/>
    <x v="1"/>
  </r>
  <r>
    <n v="1054"/>
    <x v="69"/>
    <x v="3"/>
    <x v="2"/>
    <x v="76"/>
    <x v="11"/>
    <x v="0"/>
    <n v="2654.11"/>
    <x v="76"/>
    <s v="Cash"/>
    <x v="0"/>
  </r>
  <r>
    <n v="1093"/>
    <x v="70"/>
    <x v="1"/>
    <x v="1"/>
    <x v="77"/>
    <x v="12"/>
    <x v="3"/>
    <n v="3808.59"/>
    <x v="77"/>
    <s v="Credit Card"/>
    <x v="0"/>
  </r>
  <r>
    <n v="1063"/>
    <x v="71"/>
    <x v="0"/>
    <x v="1"/>
    <x v="78"/>
    <x v="3"/>
    <x v="1"/>
    <n v="3577.69"/>
    <x v="78"/>
    <s v="Cash"/>
    <x v="1"/>
  </r>
  <r>
    <n v="1018"/>
    <x v="72"/>
    <x v="3"/>
    <x v="0"/>
    <x v="79"/>
    <x v="40"/>
    <x v="2"/>
    <n v="1006.14"/>
    <x v="79"/>
    <s v="Bank Transfer"/>
    <x v="1"/>
  </r>
  <r>
    <n v="1090"/>
    <x v="73"/>
    <x v="4"/>
    <x v="3"/>
    <x v="80"/>
    <x v="1"/>
    <x v="2"/>
    <n v="2382.98"/>
    <x v="80"/>
    <s v="Bank Transfer"/>
    <x v="1"/>
  </r>
  <r>
    <n v="1044"/>
    <x v="74"/>
    <x v="2"/>
    <x v="0"/>
    <x v="81"/>
    <x v="32"/>
    <x v="0"/>
    <n v="2388.9499999999998"/>
    <x v="81"/>
    <s v="Credit Card"/>
    <x v="1"/>
  </r>
  <r>
    <n v="1034"/>
    <x v="75"/>
    <x v="3"/>
    <x v="3"/>
    <x v="82"/>
    <x v="12"/>
    <x v="2"/>
    <n v="1922.21"/>
    <x v="82"/>
    <s v="Credit Card"/>
    <x v="1"/>
  </r>
  <r>
    <n v="1074"/>
    <x v="76"/>
    <x v="3"/>
    <x v="1"/>
    <x v="83"/>
    <x v="34"/>
    <x v="1"/>
    <n v="2610.6"/>
    <x v="83"/>
    <s v="Credit Card"/>
    <x v="0"/>
  </r>
  <r>
    <n v="1062"/>
    <x v="77"/>
    <x v="2"/>
    <x v="0"/>
    <x v="84"/>
    <x v="40"/>
    <x v="2"/>
    <n v="2094.88"/>
    <x v="84"/>
    <s v="Cash"/>
    <x v="1"/>
  </r>
  <r>
    <n v="1100"/>
    <x v="78"/>
    <x v="3"/>
    <x v="3"/>
    <x v="85"/>
    <x v="39"/>
    <x v="0"/>
    <n v="1036.76"/>
    <x v="85"/>
    <s v="Bank Transfer"/>
    <x v="0"/>
  </r>
  <r>
    <n v="1014"/>
    <x v="6"/>
    <x v="4"/>
    <x v="2"/>
    <x v="86"/>
    <x v="34"/>
    <x v="1"/>
    <n v="2091.21"/>
    <x v="86"/>
    <s v="Credit Card"/>
    <x v="0"/>
  </r>
  <r>
    <n v="1095"/>
    <x v="79"/>
    <x v="4"/>
    <x v="3"/>
    <x v="87"/>
    <x v="35"/>
    <x v="3"/>
    <n v="407.77"/>
    <x v="87"/>
    <s v="Credit Card"/>
    <x v="1"/>
  </r>
  <r>
    <n v="1048"/>
    <x v="80"/>
    <x v="2"/>
    <x v="0"/>
    <x v="88"/>
    <x v="41"/>
    <x v="0"/>
    <n v="2900.14"/>
    <x v="88"/>
    <s v="Credit Card"/>
    <x v="1"/>
  </r>
  <r>
    <n v="1015"/>
    <x v="81"/>
    <x v="1"/>
    <x v="2"/>
    <x v="89"/>
    <x v="33"/>
    <x v="3"/>
    <n v="4275.59"/>
    <x v="89"/>
    <s v="Cash"/>
    <x v="1"/>
  </r>
  <r>
    <n v="1072"/>
    <x v="61"/>
    <x v="0"/>
    <x v="3"/>
    <x v="90"/>
    <x v="42"/>
    <x v="1"/>
    <n v="3640.17"/>
    <x v="90"/>
    <s v="Credit Card"/>
    <x v="1"/>
  </r>
  <r>
    <n v="1078"/>
    <x v="41"/>
    <x v="1"/>
    <x v="3"/>
    <x v="91"/>
    <x v="37"/>
    <x v="0"/>
    <n v="1833.95"/>
    <x v="91"/>
    <s v="Credit Card"/>
    <x v="1"/>
  </r>
  <r>
    <n v="1087"/>
    <x v="25"/>
    <x v="3"/>
    <x v="3"/>
    <x v="92"/>
    <x v="8"/>
    <x v="0"/>
    <n v="481"/>
    <x v="92"/>
    <s v="Cash"/>
    <x v="0"/>
  </r>
  <r>
    <n v="1062"/>
    <x v="82"/>
    <x v="0"/>
    <x v="3"/>
    <x v="93"/>
    <x v="43"/>
    <x v="1"/>
    <n v="1050.6400000000001"/>
    <x v="93"/>
    <s v="Cash"/>
    <x v="0"/>
  </r>
  <r>
    <n v="1040"/>
    <x v="83"/>
    <x v="2"/>
    <x v="3"/>
    <x v="94"/>
    <x v="4"/>
    <x v="2"/>
    <n v="2750.18"/>
    <x v="94"/>
    <s v="Credit Card"/>
    <x v="0"/>
  </r>
  <r>
    <n v="1085"/>
    <x v="24"/>
    <x v="2"/>
    <x v="2"/>
    <x v="95"/>
    <x v="5"/>
    <x v="0"/>
    <n v="1074.93"/>
    <x v="95"/>
    <s v="Credit Card"/>
    <x v="1"/>
  </r>
  <r>
    <n v="1080"/>
    <x v="3"/>
    <x v="0"/>
    <x v="1"/>
    <x v="96"/>
    <x v="1"/>
    <x v="0"/>
    <n v="2742.67"/>
    <x v="96"/>
    <s v="Cash"/>
    <x v="1"/>
  </r>
  <r>
    <n v="1082"/>
    <x v="84"/>
    <x v="4"/>
    <x v="2"/>
    <x v="97"/>
    <x v="36"/>
    <x v="3"/>
    <n v="1196.42"/>
    <x v="97"/>
    <s v="Bank Transfer"/>
    <x v="0"/>
  </r>
  <r>
    <n v="1053"/>
    <x v="28"/>
    <x v="0"/>
    <x v="2"/>
    <x v="98"/>
    <x v="43"/>
    <x v="2"/>
    <n v="4252.17"/>
    <x v="98"/>
    <s v="Cash"/>
    <x v="1"/>
  </r>
  <r>
    <n v="1024"/>
    <x v="85"/>
    <x v="3"/>
    <x v="2"/>
    <x v="99"/>
    <x v="7"/>
    <x v="3"/>
    <n v="2016.49"/>
    <x v="99"/>
    <s v="Bank Transfer"/>
    <x v="1"/>
  </r>
  <r>
    <n v="1026"/>
    <x v="86"/>
    <x v="4"/>
    <x v="1"/>
    <x v="100"/>
    <x v="12"/>
    <x v="3"/>
    <n v="1265.48"/>
    <x v="100"/>
    <s v="Credit Card"/>
    <x v="1"/>
  </r>
  <r>
    <n v="1089"/>
    <x v="58"/>
    <x v="2"/>
    <x v="0"/>
    <x v="101"/>
    <x v="22"/>
    <x v="2"/>
    <n v="4071.01"/>
    <x v="101"/>
    <s v="Credit Card"/>
    <x v="0"/>
  </r>
  <r>
    <n v="1060"/>
    <x v="87"/>
    <x v="0"/>
    <x v="1"/>
    <x v="102"/>
    <x v="7"/>
    <x v="2"/>
    <n v="1747.05"/>
    <x v="102"/>
    <s v="Bank Transfer"/>
    <x v="1"/>
  </r>
  <r>
    <n v="1041"/>
    <x v="10"/>
    <x v="1"/>
    <x v="2"/>
    <x v="103"/>
    <x v="11"/>
    <x v="1"/>
    <n v="601.86"/>
    <x v="103"/>
    <s v="Cash"/>
    <x v="0"/>
  </r>
  <r>
    <n v="1029"/>
    <x v="88"/>
    <x v="1"/>
    <x v="3"/>
    <x v="104"/>
    <x v="40"/>
    <x v="2"/>
    <n v="2873.53"/>
    <x v="104"/>
    <s v="Credit Card"/>
    <x v="1"/>
  </r>
  <r>
    <n v="1015"/>
    <x v="10"/>
    <x v="3"/>
    <x v="3"/>
    <x v="105"/>
    <x v="21"/>
    <x v="0"/>
    <n v="2928.74"/>
    <x v="105"/>
    <s v="Bank Transfer"/>
    <x v="1"/>
  </r>
  <r>
    <n v="1045"/>
    <x v="89"/>
    <x v="1"/>
    <x v="2"/>
    <x v="106"/>
    <x v="31"/>
    <x v="2"/>
    <n v="3587.74"/>
    <x v="106"/>
    <s v="Cash"/>
    <x v="0"/>
  </r>
  <r>
    <n v="1065"/>
    <x v="90"/>
    <x v="0"/>
    <x v="3"/>
    <x v="107"/>
    <x v="0"/>
    <x v="1"/>
    <n v="1239.0899999999999"/>
    <x v="107"/>
    <s v="Bank Transfer"/>
    <x v="1"/>
  </r>
  <r>
    <n v="1089"/>
    <x v="91"/>
    <x v="0"/>
    <x v="2"/>
    <x v="108"/>
    <x v="10"/>
    <x v="1"/>
    <n v="2246.67"/>
    <x v="108"/>
    <s v="Cash"/>
    <x v="1"/>
  </r>
  <r>
    <n v="1071"/>
    <x v="92"/>
    <x v="1"/>
    <x v="3"/>
    <x v="109"/>
    <x v="11"/>
    <x v="1"/>
    <n v="1447.72"/>
    <x v="109"/>
    <s v="Cash"/>
    <x v="1"/>
  </r>
  <r>
    <n v="1009"/>
    <x v="14"/>
    <x v="0"/>
    <x v="1"/>
    <x v="110"/>
    <x v="19"/>
    <x v="2"/>
    <n v="450.72"/>
    <x v="110"/>
    <s v="Cash"/>
    <x v="0"/>
  </r>
  <r>
    <n v="1088"/>
    <x v="93"/>
    <x v="3"/>
    <x v="0"/>
    <x v="111"/>
    <x v="26"/>
    <x v="2"/>
    <n v="4389.24"/>
    <x v="111"/>
    <s v="Cash"/>
    <x v="1"/>
  </r>
  <r>
    <n v="1001"/>
    <x v="94"/>
    <x v="4"/>
    <x v="0"/>
    <x v="112"/>
    <x v="29"/>
    <x v="3"/>
    <n v="3657.91"/>
    <x v="112"/>
    <s v="Bank Transfer"/>
    <x v="1"/>
  </r>
  <r>
    <n v="1008"/>
    <x v="95"/>
    <x v="3"/>
    <x v="1"/>
    <x v="113"/>
    <x v="38"/>
    <x v="3"/>
    <n v="1542.24"/>
    <x v="113"/>
    <s v="Bank Transfer"/>
    <x v="1"/>
  </r>
  <r>
    <n v="1088"/>
    <x v="96"/>
    <x v="3"/>
    <x v="1"/>
    <x v="114"/>
    <x v="25"/>
    <x v="0"/>
    <n v="3016.9"/>
    <x v="114"/>
    <s v="Bank Transfer"/>
    <x v="1"/>
  </r>
  <r>
    <n v="1063"/>
    <x v="97"/>
    <x v="0"/>
    <x v="2"/>
    <x v="115"/>
    <x v="41"/>
    <x v="3"/>
    <n v="1046.26"/>
    <x v="115"/>
    <s v="Bank Transfer"/>
    <x v="1"/>
  </r>
  <r>
    <n v="1011"/>
    <x v="98"/>
    <x v="4"/>
    <x v="2"/>
    <x v="116"/>
    <x v="34"/>
    <x v="0"/>
    <n v="4456.67"/>
    <x v="116"/>
    <s v="Bank Transfer"/>
    <x v="0"/>
  </r>
  <r>
    <n v="1081"/>
    <x v="99"/>
    <x v="0"/>
    <x v="2"/>
    <x v="117"/>
    <x v="16"/>
    <x v="1"/>
    <n v="618.79"/>
    <x v="117"/>
    <s v="Cash"/>
    <x v="0"/>
  </r>
  <r>
    <n v="1008"/>
    <x v="100"/>
    <x v="2"/>
    <x v="3"/>
    <x v="118"/>
    <x v="30"/>
    <x v="3"/>
    <n v="68.989999999999995"/>
    <x v="118"/>
    <s v="Credit Card"/>
    <x v="1"/>
  </r>
  <r>
    <n v="1035"/>
    <x v="101"/>
    <x v="0"/>
    <x v="2"/>
    <x v="119"/>
    <x v="14"/>
    <x v="2"/>
    <n v="2534.94"/>
    <x v="119"/>
    <s v="Credit Card"/>
    <x v="1"/>
  </r>
  <r>
    <n v="1035"/>
    <x v="42"/>
    <x v="0"/>
    <x v="1"/>
    <x v="120"/>
    <x v="20"/>
    <x v="3"/>
    <n v="2936.48"/>
    <x v="120"/>
    <s v="Bank Transfer"/>
    <x v="0"/>
  </r>
  <r>
    <n v="1033"/>
    <x v="102"/>
    <x v="0"/>
    <x v="0"/>
    <x v="121"/>
    <x v="25"/>
    <x v="0"/>
    <n v="2915.88"/>
    <x v="121"/>
    <s v="Bank Transfer"/>
    <x v="1"/>
  </r>
  <r>
    <n v="1005"/>
    <x v="103"/>
    <x v="4"/>
    <x v="3"/>
    <x v="122"/>
    <x v="26"/>
    <x v="3"/>
    <n v="319.83"/>
    <x v="122"/>
    <s v="Credit Card"/>
    <x v="1"/>
  </r>
  <r>
    <n v="1041"/>
    <x v="104"/>
    <x v="0"/>
    <x v="2"/>
    <x v="123"/>
    <x v="17"/>
    <x v="1"/>
    <n v="1604.52"/>
    <x v="123"/>
    <s v="Cash"/>
    <x v="1"/>
  </r>
  <r>
    <n v="1028"/>
    <x v="5"/>
    <x v="4"/>
    <x v="3"/>
    <x v="124"/>
    <x v="38"/>
    <x v="2"/>
    <n v="2521.0300000000002"/>
    <x v="124"/>
    <s v="Bank Transfer"/>
    <x v="1"/>
  </r>
  <r>
    <n v="1007"/>
    <x v="103"/>
    <x v="1"/>
    <x v="3"/>
    <x v="125"/>
    <x v="28"/>
    <x v="0"/>
    <n v="1122.07"/>
    <x v="125"/>
    <s v="Cash"/>
    <x v="1"/>
  </r>
  <r>
    <n v="1073"/>
    <x v="87"/>
    <x v="2"/>
    <x v="2"/>
    <x v="126"/>
    <x v="27"/>
    <x v="2"/>
    <n v="4369.5"/>
    <x v="126"/>
    <s v="Credit Card"/>
    <x v="1"/>
  </r>
  <r>
    <n v="1072"/>
    <x v="90"/>
    <x v="4"/>
    <x v="3"/>
    <x v="127"/>
    <x v="44"/>
    <x v="2"/>
    <n v="481.19"/>
    <x v="127"/>
    <s v="Credit Card"/>
    <x v="1"/>
  </r>
  <r>
    <n v="1012"/>
    <x v="105"/>
    <x v="1"/>
    <x v="0"/>
    <x v="128"/>
    <x v="24"/>
    <x v="0"/>
    <n v="2462.5500000000002"/>
    <x v="128"/>
    <s v="Bank Transfer"/>
    <x v="1"/>
  </r>
  <r>
    <n v="1034"/>
    <x v="106"/>
    <x v="4"/>
    <x v="1"/>
    <x v="129"/>
    <x v="45"/>
    <x v="2"/>
    <n v="3472.51"/>
    <x v="129"/>
    <s v="Cash"/>
    <x v="0"/>
  </r>
  <r>
    <n v="1033"/>
    <x v="107"/>
    <x v="4"/>
    <x v="1"/>
    <x v="130"/>
    <x v="38"/>
    <x v="2"/>
    <n v="1345.67"/>
    <x v="130"/>
    <s v="Bank Transfer"/>
    <x v="0"/>
  </r>
  <r>
    <n v="1048"/>
    <x v="108"/>
    <x v="2"/>
    <x v="0"/>
    <x v="131"/>
    <x v="31"/>
    <x v="3"/>
    <n v="3139.99"/>
    <x v="131"/>
    <s v="Credit Card"/>
    <x v="1"/>
  </r>
  <r>
    <n v="1023"/>
    <x v="109"/>
    <x v="3"/>
    <x v="3"/>
    <x v="132"/>
    <x v="14"/>
    <x v="2"/>
    <n v="4155.46"/>
    <x v="132"/>
    <s v="Cash"/>
    <x v="1"/>
  </r>
  <r>
    <n v="1062"/>
    <x v="110"/>
    <x v="3"/>
    <x v="2"/>
    <x v="133"/>
    <x v="42"/>
    <x v="2"/>
    <n v="992.17"/>
    <x v="133"/>
    <s v="Bank Transfer"/>
    <x v="1"/>
  </r>
  <r>
    <n v="1088"/>
    <x v="111"/>
    <x v="4"/>
    <x v="3"/>
    <x v="134"/>
    <x v="46"/>
    <x v="2"/>
    <n v="4590.24"/>
    <x v="134"/>
    <s v="Bank Transfer"/>
    <x v="1"/>
  </r>
  <r>
    <n v="1037"/>
    <x v="112"/>
    <x v="0"/>
    <x v="0"/>
    <x v="135"/>
    <x v="11"/>
    <x v="2"/>
    <n v="2790.11"/>
    <x v="135"/>
    <s v="Bank Transfer"/>
    <x v="0"/>
  </r>
  <r>
    <n v="1099"/>
    <x v="113"/>
    <x v="1"/>
    <x v="3"/>
    <x v="136"/>
    <x v="15"/>
    <x v="0"/>
    <n v="1531.2"/>
    <x v="136"/>
    <s v="Credit Card"/>
    <x v="0"/>
  </r>
  <r>
    <n v="1044"/>
    <x v="114"/>
    <x v="0"/>
    <x v="1"/>
    <x v="137"/>
    <x v="12"/>
    <x v="1"/>
    <n v="2182.75"/>
    <x v="137"/>
    <s v="Bank Transfer"/>
    <x v="0"/>
  </r>
  <r>
    <n v="1086"/>
    <x v="115"/>
    <x v="0"/>
    <x v="3"/>
    <x v="138"/>
    <x v="45"/>
    <x v="3"/>
    <n v="1595.35"/>
    <x v="138"/>
    <s v="Cash"/>
    <x v="0"/>
  </r>
  <r>
    <n v="1091"/>
    <x v="116"/>
    <x v="4"/>
    <x v="0"/>
    <x v="139"/>
    <x v="38"/>
    <x v="2"/>
    <n v="3639.3"/>
    <x v="139"/>
    <s v="Bank Transfer"/>
    <x v="1"/>
  </r>
  <r>
    <n v="1035"/>
    <x v="53"/>
    <x v="4"/>
    <x v="1"/>
    <x v="140"/>
    <x v="47"/>
    <x v="2"/>
    <n v="3991.69"/>
    <x v="140"/>
    <s v="Credit Card"/>
    <x v="1"/>
  </r>
  <r>
    <n v="1065"/>
    <x v="117"/>
    <x v="4"/>
    <x v="3"/>
    <x v="141"/>
    <x v="45"/>
    <x v="0"/>
    <n v="4173.04"/>
    <x v="141"/>
    <s v="Bank Transfer"/>
    <x v="1"/>
  </r>
  <r>
    <n v="1099"/>
    <x v="106"/>
    <x v="4"/>
    <x v="3"/>
    <x v="142"/>
    <x v="30"/>
    <x v="1"/>
    <n v="4929.55"/>
    <x v="142"/>
    <s v="Credit Card"/>
    <x v="0"/>
  </r>
  <r>
    <n v="1047"/>
    <x v="106"/>
    <x v="3"/>
    <x v="1"/>
    <x v="143"/>
    <x v="25"/>
    <x v="2"/>
    <n v="3966.86"/>
    <x v="143"/>
    <s v="Credit Card"/>
    <x v="1"/>
  </r>
  <r>
    <n v="1078"/>
    <x v="118"/>
    <x v="4"/>
    <x v="2"/>
    <x v="144"/>
    <x v="37"/>
    <x v="0"/>
    <n v="3026.85"/>
    <x v="144"/>
    <s v="Cash"/>
    <x v="1"/>
  </r>
  <r>
    <n v="1003"/>
    <x v="18"/>
    <x v="3"/>
    <x v="1"/>
    <x v="145"/>
    <x v="13"/>
    <x v="3"/>
    <n v="1729.14"/>
    <x v="145"/>
    <s v="Cash"/>
    <x v="0"/>
  </r>
  <r>
    <n v="1001"/>
    <x v="39"/>
    <x v="3"/>
    <x v="2"/>
    <x v="146"/>
    <x v="22"/>
    <x v="3"/>
    <n v="2745.75"/>
    <x v="146"/>
    <s v="Bank Transfer"/>
    <x v="0"/>
  </r>
  <r>
    <n v="1005"/>
    <x v="119"/>
    <x v="4"/>
    <x v="0"/>
    <x v="147"/>
    <x v="26"/>
    <x v="2"/>
    <n v="253.29"/>
    <x v="147"/>
    <s v="Credit Card"/>
    <x v="0"/>
  </r>
  <r>
    <n v="1090"/>
    <x v="109"/>
    <x v="2"/>
    <x v="0"/>
    <x v="148"/>
    <x v="36"/>
    <x v="2"/>
    <n v="3736.88"/>
    <x v="148"/>
    <s v="Credit Card"/>
    <x v="0"/>
  </r>
  <r>
    <n v="1014"/>
    <x v="5"/>
    <x v="1"/>
    <x v="1"/>
    <x v="149"/>
    <x v="16"/>
    <x v="1"/>
    <n v="2257.48"/>
    <x v="149"/>
    <s v="Cash"/>
    <x v="0"/>
  </r>
  <r>
    <n v="1027"/>
    <x v="120"/>
    <x v="0"/>
    <x v="1"/>
    <x v="150"/>
    <x v="42"/>
    <x v="1"/>
    <n v="149.11000000000001"/>
    <x v="150"/>
    <s v="Cash"/>
    <x v="1"/>
  </r>
  <r>
    <n v="1009"/>
    <x v="1"/>
    <x v="3"/>
    <x v="0"/>
    <x v="151"/>
    <x v="20"/>
    <x v="2"/>
    <n v="359.41"/>
    <x v="151"/>
    <s v="Bank Transfer"/>
    <x v="1"/>
  </r>
  <r>
    <n v="1079"/>
    <x v="121"/>
    <x v="1"/>
    <x v="2"/>
    <x v="152"/>
    <x v="24"/>
    <x v="0"/>
    <n v="1967.96"/>
    <x v="152"/>
    <s v="Credit Card"/>
    <x v="0"/>
  </r>
  <r>
    <n v="1015"/>
    <x v="15"/>
    <x v="2"/>
    <x v="0"/>
    <x v="153"/>
    <x v="18"/>
    <x v="1"/>
    <n v="2937.94"/>
    <x v="153"/>
    <s v="Cash"/>
    <x v="1"/>
  </r>
  <r>
    <n v="1090"/>
    <x v="122"/>
    <x v="0"/>
    <x v="1"/>
    <x v="154"/>
    <x v="17"/>
    <x v="2"/>
    <n v="2347.81"/>
    <x v="154"/>
    <s v="Bank Transfer"/>
    <x v="1"/>
  </r>
  <r>
    <n v="1042"/>
    <x v="121"/>
    <x v="0"/>
    <x v="0"/>
    <x v="155"/>
    <x v="46"/>
    <x v="1"/>
    <n v="3115.06"/>
    <x v="155"/>
    <s v="Credit Card"/>
    <x v="1"/>
  </r>
  <r>
    <n v="1077"/>
    <x v="61"/>
    <x v="3"/>
    <x v="1"/>
    <x v="156"/>
    <x v="26"/>
    <x v="2"/>
    <n v="2427.46"/>
    <x v="156"/>
    <s v="Credit Card"/>
    <x v="1"/>
  </r>
  <r>
    <n v="1051"/>
    <x v="123"/>
    <x v="4"/>
    <x v="1"/>
    <x v="157"/>
    <x v="18"/>
    <x v="3"/>
    <n v="3325.43"/>
    <x v="157"/>
    <s v="Cash"/>
    <x v="0"/>
  </r>
  <r>
    <n v="1063"/>
    <x v="15"/>
    <x v="2"/>
    <x v="0"/>
    <x v="158"/>
    <x v="41"/>
    <x v="2"/>
    <n v="1134.67"/>
    <x v="158"/>
    <s v="Bank Transfer"/>
    <x v="1"/>
  </r>
  <r>
    <n v="1096"/>
    <x v="124"/>
    <x v="3"/>
    <x v="2"/>
    <x v="159"/>
    <x v="18"/>
    <x v="3"/>
    <n v="608.57000000000005"/>
    <x v="159"/>
    <s v="Cash"/>
    <x v="1"/>
  </r>
  <r>
    <n v="1052"/>
    <x v="125"/>
    <x v="2"/>
    <x v="3"/>
    <x v="160"/>
    <x v="10"/>
    <x v="1"/>
    <n v="3002.35"/>
    <x v="160"/>
    <s v="Bank Transfer"/>
    <x v="1"/>
  </r>
  <r>
    <n v="1096"/>
    <x v="126"/>
    <x v="4"/>
    <x v="0"/>
    <x v="161"/>
    <x v="10"/>
    <x v="2"/>
    <n v="2449.21"/>
    <x v="161"/>
    <s v="Credit Card"/>
    <x v="0"/>
  </r>
  <r>
    <n v="1004"/>
    <x v="35"/>
    <x v="4"/>
    <x v="3"/>
    <x v="162"/>
    <x v="21"/>
    <x v="1"/>
    <n v="182.99"/>
    <x v="162"/>
    <s v="Bank Transfer"/>
    <x v="1"/>
  </r>
  <r>
    <n v="1094"/>
    <x v="69"/>
    <x v="3"/>
    <x v="0"/>
    <x v="163"/>
    <x v="44"/>
    <x v="3"/>
    <n v="1933.39"/>
    <x v="163"/>
    <s v="Bank Transfer"/>
    <x v="0"/>
  </r>
  <r>
    <n v="1023"/>
    <x v="99"/>
    <x v="4"/>
    <x v="3"/>
    <x v="164"/>
    <x v="39"/>
    <x v="2"/>
    <n v="575.32000000000005"/>
    <x v="164"/>
    <s v="Bank Transfer"/>
    <x v="0"/>
  </r>
  <r>
    <n v="1015"/>
    <x v="127"/>
    <x v="1"/>
    <x v="2"/>
    <x v="165"/>
    <x v="2"/>
    <x v="1"/>
    <n v="2680.22"/>
    <x v="165"/>
    <s v="Bank Transfer"/>
    <x v="0"/>
  </r>
  <r>
    <n v="1043"/>
    <x v="128"/>
    <x v="0"/>
    <x v="2"/>
    <x v="166"/>
    <x v="45"/>
    <x v="3"/>
    <n v="2009.1"/>
    <x v="166"/>
    <s v="Bank Transfer"/>
    <x v="0"/>
  </r>
  <r>
    <n v="1029"/>
    <x v="111"/>
    <x v="3"/>
    <x v="0"/>
    <x v="167"/>
    <x v="9"/>
    <x v="1"/>
    <n v="3085.1"/>
    <x v="167"/>
    <s v="Cash"/>
    <x v="1"/>
  </r>
  <r>
    <n v="1036"/>
    <x v="40"/>
    <x v="2"/>
    <x v="1"/>
    <x v="168"/>
    <x v="44"/>
    <x v="0"/>
    <n v="4037.73"/>
    <x v="168"/>
    <s v="Bank Transfer"/>
    <x v="0"/>
  </r>
  <r>
    <n v="1013"/>
    <x v="129"/>
    <x v="1"/>
    <x v="3"/>
    <x v="169"/>
    <x v="46"/>
    <x v="3"/>
    <n v="1533.36"/>
    <x v="169"/>
    <s v="Bank Transfer"/>
    <x v="0"/>
  </r>
  <r>
    <n v="1032"/>
    <x v="130"/>
    <x v="3"/>
    <x v="1"/>
    <x v="170"/>
    <x v="37"/>
    <x v="3"/>
    <n v="4812.41"/>
    <x v="170"/>
    <s v="Credit Card"/>
    <x v="0"/>
  </r>
  <r>
    <n v="1071"/>
    <x v="131"/>
    <x v="4"/>
    <x v="1"/>
    <x v="171"/>
    <x v="33"/>
    <x v="3"/>
    <n v="2701.39"/>
    <x v="171"/>
    <s v="Bank Transfer"/>
    <x v="0"/>
  </r>
  <r>
    <n v="1059"/>
    <x v="132"/>
    <x v="4"/>
    <x v="1"/>
    <x v="172"/>
    <x v="9"/>
    <x v="2"/>
    <n v="3110.54"/>
    <x v="172"/>
    <s v="Credit Card"/>
    <x v="0"/>
  </r>
  <r>
    <n v="1086"/>
    <x v="13"/>
    <x v="4"/>
    <x v="2"/>
    <x v="173"/>
    <x v="19"/>
    <x v="2"/>
    <n v="3419.33"/>
    <x v="173"/>
    <s v="Cash"/>
    <x v="1"/>
  </r>
  <r>
    <n v="1028"/>
    <x v="133"/>
    <x v="4"/>
    <x v="0"/>
    <x v="174"/>
    <x v="34"/>
    <x v="2"/>
    <n v="3350.32"/>
    <x v="174"/>
    <s v="Cash"/>
    <x v="0"/>
  </r>
  <r>
    <n v="1066"/>
    <x v="134"/>
    <x v="2"/>
    <x v="0"/>
    <x v="175"/>
    <x v="13"/>
    <x v="0"/>
    <n v="2579.31"/>
    <x v="175"/>
    <s v="Bank Transfer"/>
    <x v="1"/>
  </r>
  <r>
    <n v="1042"/>
    <x v="120"/>
    <x v="1"/>
    <x v="2"/>
    <x v="176"/>
    <x v="7"/>
    <x v="0"/>
    <n v="2172.38"/>
    <x v="176"/>
    <s v="Cash"/>
    <x v="1"/>
  </r>
  <r>
    <n v="1045"/>
    <x v="121"/>
    <x v="0"/>
    <x v="2"/>
    <x v="177"/>
    <x v="13"/>
    <x v="3"/>
    <n v="316.22000000000003"/>
    <x v="177"/>
    <s v="Bank Transfer"/>
    <x v="0"/>
  </r>
  <r>
    <n v="1062"/>
    <x v="135"/>
    <x v="2"/>
    <x v="0"/>
    <x v="178"/>
    <x v="7"/>
    <x v="0"/>
    <n v="159.32"/>
    <x v="178"/>
    <s v="Cash"/>
    <x v="1"/>
  </r>
  <r>
    <n v="1057"/>
    <x v="70"/>
    <x v="2"/>
    <x v="1"/>
    <x v="179"/>
    <x v="44"/>
    <x v="1"/>
    <n v="1821.91"/>
    <x v="179"/>
    <s v="Bank Transfer"/>
    <x v="1"/>
  </r>
  <r>
    <n v="1006"/>
    <x v="121"/>
    <x v="0"/>
    <x v="3"/>
    <x v="180"/>
    <x v="9"/>
    <x v="3"/>
    <n v="1701.62"/>
    <x v="180"/>
    <s v="Bank Transfer"/>
    <x v="1"/>
  </r>
  <r>
    <n v="1028"/>
    <x v="57"/>
    <x v="0"/>
    <x v="3"/>
    <x v="181"/>
    <x v="38"/>
    <x v="3"/>
    <n v="1969.09"/>
    <x v="181"/>
    <s v="Credit Card"/>
    <x v="0"/>
  </r>
  <r>
    <n v="1028"/>
    <x v="50"/>
    <x v="4"/>
    <x v="3"/>
    <x v="182"/>
    <x v="47"/>
    <x v="1"/>
    <n v="734.92"/>
    <x v="182"/>
    <s v="Credit Card"/>
    <x v="0"/>
  </r>
  <r>
    <n v="1044"/>
    <x v="136"/>
    <x v="2"/>
    <x v="1"/>
    <x v="183"/>
    <x v="32"/>
    <x v="3"/>
    <n v="3703.93"/>
    <x v="183"/>
    <s v="Credit Card"/>
    <x v="0"/>
  </r>
  <r>
    <n v="1084"/>
    <x v="46"/>
    <x v="3"/>
    <x v="0"/>
    <x v="184"/>
    <x v="37"/>
    <x v="0"/>
    <n v="4291.97"/>
    <x v="184"/>
    <s v="Credit Card"/>
    <x v="0"/>
  </r>
  <r>
    <n v="1030"/>
    <x v="75"/>
    <x v="0"/>
    <x v="2"/>
    <x v="185"/>
    <x v="8"/>
    <x v="2"/>
    <n v="4696.6400000000003"/>
    <x v="185"/>
    <s v="Bank Transfer"/>
    <x v="0"/>
  </r>
  <r>
    <n v="1062"/>
    <x v="25"/>
    <x v="0"/>
    <x v="0"/>
    <x v="186"/>
    <x v="10"/>
    <x v="1"/>
    <n v="2487.19"/>
    <x v="186"/>
    <s v="Cash"/>
    <x v="0"/>
  </r>
  <r>
    <n v="1075"/>
    <x v="137"/>
    <x v="1"/>
    <x v="1"/>
    <x v="187"/>
    <x v="16"/>
    <x v="0"/>
    <n v="3519.29"/>
    <x v="187"/>
    <s v="Bank Transfer"/>
    <x v="0"/>
  </r>
  <r>
    <n v="1092"/>
    <x v="30"/>
    <x v="3"/>
    <x v="2"/>
    <x v="188"/>
    <x v="20"/>
    <x v="1"/>
    <n v="4284.9799999999996"/>
    <x v="188"/>
    <s v="Credit Card"/>
    <x v="1"/>
  </r>
  <r>
    <n v="1089"/>
    <x v="138"/>
    <x v="3"/>
    <x v="1"/>
    <x v="189"/>
    <x v="18"/>
    <x v="1"/>
    <n v="2120.54"/>
    <x v="189"/>
    <s v="Credit Card"/>
    <x v="1"/>
  </r>
  <r>
    <n v="1062"/>
    <x v="9"/>
    <x v="0"/>
    <x v="3"/>
    <x v="190"/>
    <x v="41"/>
    <x v="3"/>
    <n v="1581.59"/>
    <x v="190"/>
    <s v="Cash"/>
    <x v="0"/>
  </r>
  <r>
    <n v="1097"/>
    <x v="139"/>
    <x v="4"/>
    <x v="3"/>
    <x v="191"/>
    <x v="30"/>
    <x v="3"/>
    <n v="4686.79"/>
    <x v="191"/>
    <s v="Credit Card"/>
    <x v="1"/>
  </r>
  <r>
    <n v="1001"/>
    <x v="140"/>
    <x v="1"/>
    <x v="1"/>
    <x v="192"/>
    <x v="0"/>
    <x v="0"/>
    <n v="2602.6"/>
    <x v="192"/>
    <s v="Bank Transfer"/>
    <x v="0"/>
  </r>
  <r>
    <n v="1027"/>
    <x v="83"/>
    <x v="3"/>
    <x v="2"/>
    <x v="193"/>
    <x v="9"/>
    <x v="1"/>
    <n v="2511.41"/>
    <x v="193"/>
    <s v="Bank Transfer"/>
    <x v="0"/>
  </r>
  <r>
    <n v="1062"/>
    <x v="141"/>
    <x v="0"/>
    <x v="2"/>
    <x v="194"/>
    <x v="40"/>
    <x v="3"/>
    <n v="933.16"/>
    <x v="194"/>
    <s v="Bank Transfer"/>
    <x v="0"/>
  </r>
  <r>
    <n v="1077"/>
    <x v="142"/>
    <x v="3"/>
    <x v="0"/>
    <x v="195"/>
    <x v="22"/>
    <x v="3"/>
    <n v="585.37"/>
    <x v="195"/>
    <s v="Bank Transfer"/>
    <x v="1"/>
  </r>
  <r>
    <n v="1003"/>
    <x v="124"/>
    <x v="1"/>
    <x v="3"/>
    <x v="196"/>
    <x v="33"/>
    <x v="1"/>
    <n v="4218.43"/>
    <x v="196"/>
    <s v="Bank Transfer"/>
    <x v="0"/>
  </r>
  <r>
    <n v="1070"/>
    <x v="128"/>
    <x v="1"/>
    <x v="0"/>
    <x v="197"/>
    <x v="11"/>
    <x v="0"/>
    <n v="3089.96"/>
    <x v="197"/>
    <s v="Cash"/>
    <x v="0"/>
  </r>
  <r>
    <n v="1072"/>
    <x v="143"/>
    <x v="2"/>
    <x v="0"/>
    <x v="198"/>
    <x v="18"/>
    <x v="0"/>
    <n v="1662.83"/>
    <x v="198"/>
    <s v="Bank Transfer"/>
    <x v="0"/>
  </r>
  <r>
    <n v="1027"/>
    <x v="61"/>
    <x v="0"/>
    <x v="1"/>
    <x v="199"/>
    <x v="45"/>
    <x v="1"/>
    <n v="999.09"/>
    <x v="199"/>
    <s v="Credit Card"/>
    <x v="0"/>
  </r>
  <r>
    <n v="1009"/>
    <x v="39"/>
    <x v="1"/>
    <x v="1"/>
    <x v="200"/>
    <x v="11"/>
    <x v="0"/>
    <n v="2799.71"/>
    <x v="200"/>
    <s v="Credit Card"/>
    <x v="1"/>
  </r>
  <r>
    <n v="1062"/>
    <x v="144"/>
    <x v="2"/>
    <x v="0"/>
    <x v="201"/>
    <x v="15"/>
    <x v="3"/>
    <n v="2940.4"/>
    <x v="201"/>
    <s v="Credit Card"/>
    <x v="0"/>
  </r>
  <r>
    <n v="1037"/>
    <x v="112"/>
    <x v="2"/>
    <x v="3"/>
    <x v="202"/>
    <x v="44"/>
    <x v="1"/>
    <n v="1074.6199999999999"/>
    <x v="202"/>
    <s v="Credit Card"/>
    <x v="1"/>
  </r>
  <r>
    <n v="1097"/>
    <x v="131"/>
    <x v="3"/>
    <x v="1"/>
    <x v="203"/>
    <x v="37"/>
    <x v="3"/>
    <n v="4264.46"/>
    <x v="203"/>
    <s v="Cash"/>
    <x v="1"/>
  </r>
  <r>
    <n v="1051"/>
    <x v="145"/>
    <x v="3"/>
    <x v="0"/>
    <x v="204"/>
    <x v="29"/>
    <x v="2"/>
    <n v="467.11"/>
    <x v="204"/>
    <s v="Credit Card"/>
    <x v="0"/>
  </r>
  <r>
    <n v="1044"/>
    <x v="146"/>
    <x v="2"/>
    <x v="0"/>
    <x v="205"/>
    <x v="23"/>
    <x v="2"/>
    <n v="1812.66"/>
    <x v="205"/>
    <s v="Cash"/>
    <x v="0"/>
  </r>
  <r>
    <n v="1024"/>
    <x v="147"/>
    <x v="3"/>
    <x v="0"/>
    <x v="206"/>
    <x v="47"/>
    <x v="0"/>
    <n v="3417.9"/>
    <x v="206"/>
    <s v="Credit Card"/>
    <x v="1"/>
  </r>
  <r>
    <n v="1079"/>
    <x v="148"/>
    <x v="1"/>
    <x v="0"/>
    <x v="207"/>
    <x v="27"/>
    <x v="2"/>
    <n v="1406.9"/>
    <x v="207"/>
    <s v="Cash"/>
    <x v="1"/>
  </r>
  <r>
    <n v="1059"/>
    <x v="149"/>
    <x v="4"/>
    <x v="0"/>
    <x v="208"/>
    <x v="35"/>
    <x v="3"/>
    <n v="4146.99"/>
    <x v="208"/>
    <s v="Cash"/>
    <x v="1"/>
  </r>
  <r>
    <n v="1032"/>
    <x v="106"/>
    <x v="1"/>
    <x v="0"/>
    <x v="209"/>
    <x v="27"/>
    <x v="2"/>
    <n v="3712.35"/>
    <x v="209"/>
    <s v="Cash"/>
    <x v="1"/>
  </r>
  <r>
    <n v="1096"/>
    <x v="150"/>
    <x v="2"/>
    <x v="1"/>
    <x v="210"/>
    <x v="34"/>
    <x v="3"/>
    <n v="3955.66"/>
    <x v="210"/>
    <s v="Credit Card"/>
    <x v="0"/>
  </r>
  <r>
    <n v="1088"/>
    <x v="1"/>
    <x v="2"/>
    <x v="3"/>
    <x v="211"/>
    <x v="6"/>
    <x v="0"/>
    <n v="639.58000000000004"/>
    <x v="211"/>
    <s v="Cash"/>
    <x v="1"/>
  </r>
  <r>
    <n v="1052"/>
    <x v="106"/>
    <x v="1"/>
    <x v="0"/>
    <x v="212"/>
    <x v="47"/>
    <x v="0"/>
    <n v="745.71"/>
    <x v="212"/>
    <s v="Bank Transfer"/>
    <x v="1"/>
  </r>
  <r>
    <n v="1062"/>
    <x v="94"/>
    <x v="3"/>
    <x v="2"/>
    <x v="213"/>
    <x v="14"/>
    <x v="3"/>
    <n v="1468.05"/>
    <x v="213"/>
    <s v="Bank Transfer"/>
    <x v="1"/>
  </r>
  <r>
    <n v="1058"/>
    <x v="151"/>
    <x v="3"/>
    <x v="1"/>
    <x v="214"/>
    <x v="10"/>
    <x v="2"/>
    <n v="2614.48"/>
    <x v="214"/>
    <s v="Credit Card"/>
    <x v="1"/>
  </r>
  <r>
    <n v="1052"/>
    <x v="64"/>
    <x v="2"/>
    <x v="1"/>
    <x v="215"/>
    <x v="39"/>
    <x v="0"/>
    <n v="3752.68"/>
    <x v="215"/>
    <s v="Bank Transfer"/>
    <x v="0"/>
  </r>
  <r>
    <n v="1012"/>
    <x v="50"/>
    <x v="0"/>
    <x v="0"/>
    <x v="216"/>
    <x v="21"/>
    <x v="1"/>
    <n v="4190.83"/>
    <x v="216"/>
    <s v="Bank Transfer"/>
    <x v="0"/>
  </r>
  <r>
    <n v="1039"/>
    <x v="48"/>
    <x v="3"/>
    <x v="1"/>
    <x v="217"/>
    <x v="11"/>
    <x v="0"/>
    <n v="3536.46"/>
    <x v="217"/>
    <s v="Bank Transfer"/>
    <x v="0"/>
  </r>
  <r>
    <n v="1002"/>
    <x v="62"/>
    <x v="1"/>
    <x v="0"/>
    <x v="218"/>
    <x v="2"/>
    <x v="2"/>
    <n v="4646.55"/>
    <x v="218"/>
    <s v="Credit Card"/>
    <x v="1"/>
  </r>
  <r>
    <n v="1003"/>
    <x v="90"/>
    <x v="3"/>
    <x v="3"/>
    <x v="219"/>
    <x v="23"/>
    <x v="1"/>
    <n v="3706.78"/>
    <x v="219"/>
    <s v="Credit Card"/>
    <x v="1"/>
  </r>
  <r>
    <n v="1056"/>
    <x v="152"/>
    <x v="1"/>
    <x v="3"/>
    <x v="220"/>
    <x v="40"/>
    <x v="2"/>
    <n v="1566.03"/>
    <x v="220"/>
    <s v="Bank Transfer"/>
    <x v="0"/>
  </r>
  <r>
    <n v="1081"/>
    <x v="153"/>
    <x v="2"/>
    <x v="1"/>
    <x v="221"/>
    <x v="16"/>
    <x v="3"/>
    <n v="1362.15"/>
    <x v="221"/>
    <s v="Credit Card"/>
    <x v="0"/>
  </r>
  <r>
    <n v="1059"/>
    <x v="154"/>
    <x v="3"/>
    <x v="1"/>
    <x v="222"/>
    <x v="26"/>
    <x v="1"/>
    <n v="3496.15"/>
    <x v="222"/>
    <s v="Cash"/>
    <x v="1"/>
  </r>
  <r>
    <n v="1002"/>
    <x v="155"/>
    <x v="1"/>
    <x v="2"/>
    <x v="223"/>
    <x v="3"/>
    <x v="2"/>
    <n v="1004.71"/>
    <x v="223"/>
    <s v="Bank Transfer"/>
    <x v="0"/>
  </r>
  <r>
    <n v="1002"/>
    <x v="156"/>
    <x v="2"/>
    <x v="1"/>
    <x v="224"/>
    <x v="42"/>
    <x v="1"/>
    <n v="508.94"/>
    <x v="224"/>
    <s v="Credit Card"/>
    <x v="1"/>
  </r>
  <r>
    <n v="1092"/>
    <x v="157"/>
    <x v="0"/>
    <x v="2"/>
    <x v="225"/>
    <x v="4"/>
    <x v="2"/>
    <n v="2684.5"/>
    <x v="225"/>
    <s v="Credit Card"/>
    <x v="1"/>
  </r>
  <r>
    <n v="1054"/>
    <x v="87"/>
    <x v="1"/>
    <x v="3"/>
    <x v="226"/>
    <x v="29"/>
    <x v="1"/>
    <n v="4117.13"/>
    <x v="226"/>
    <s v="Bank Transfer"/>
    <x v="1"/>
  </r>
  <r>
    <n v="1087"/>
    <x v="158"/>
    <x v="0"/>
    <x v="3"/>
    <x v="227"/>
    <x v="40"/>
    <x v="2"/>
    <n v="551.83000000000004"/>
    <x v="227"/>
    <s v="Credit Card"/>
    <x v="1"/>
  </r>
  <r>
    <n v="1096"/>
    <x v="159"/>
    <x v="0"/>
    <x v="0"/>
    <x v="228"/>
    <x v="2"/>
    <x v="3"/>
    <n v="3969.86"/>
    <x v="228"/>
    <s v="Bank Transfer"/>
    <x v="1"/>
  </r>
  <r>
    <n v="1097"/>
    <x v="91"/>
    <x v="4"/>
    <x v="3"/>
    <x v="229"/>
    <x v="14"/>
    <x v="1"/>
    <n v="4067.28"/>
    <x v="229"/>
    <s v="Credit Card"/>
    <x v="1"/>
  </r>
  <r>
    <n v="1001"/>
    <x v="160"/>
    <x v="3"/>
    <x v="2"/>
    <x v="230"/>
    <x v="3"/>
    <x v="1"/>
    <n v="2437.2600000000002"/>
    <x v="230"/>
    <s v="Cash"/>
    <x v="0"/>
  </r>
  <r>
    <n v="1019"/>
    <x v="146"/>
    <x v="1"/>
    <x v="1"/>
    <x v="231"/>
    <x v="17"/>
    <x v="1"/>
    <n v="333.69"/>
    <x v="231"/>
    <s v="Bank Transfer"/>
    <x v="0"/>
  </r>
  <r>
    <n v="1002"/>
    <x v="6"/>
    <x v="0"/>
    <x v="0"/>
    <x v="232"/>
    <x v="9"/>
    <x v="1"/>
    <n v="914.22"/>
    <x v="232"/>
    <s v="Cash"/>
    <x v="0"/>
  </r>
  <r>
    <n v="1053"/>
    <x v="145"/>
    <x v="4"/>
    <x v="2"/>
    <x v="233"/>
    <x v="20"/>
    <x v="3"/>
    <n v="3551.76"/>
    <x v="233"/>
    <s v="Bank Transfer"/>
    <x v="1"/>
  </r>
  <r>
    <n v="1044"/>
    <x v="161"/>
    <x v="2"/>
    <x v="1"/>
    <x v="234"/>
    <x v="24"/>
    <x v="1"/>
    <n v="3573.3"/>
    <x v="234"/>
    <s v="Credit Card"/>
    <x v="0"/>
  </r>
  <r>
    <n v="1090"/>
    <x v="162"/>
    <x v="1"/>
    <x v="0"/>
    <x v="235"/>
    <x v="17"/>
    <x v="0"/>
    <n v="4496.8599999999997"/>
    <x v="235"/>
    <s v="Cash"/>
    <x v="1"/>
  </r>
  <r>
    <n v="1032"/>
    <x v="163"/>
    <x v="0"/>
    <x v="3"/>
    <x v="236"/>
    <x v="44"/>
    <x v="3"/>
    <n v="2934.3"/>
    <x v="236"/>
    <s v="Credit Card"/>
    <x v="1"/>
  </r>
  <r>
    <n v="1070"/>
    <x v="58"/>
    <x v="3"/>
    <x v="2"/>
    <x v="237"/>
    <x v="26"/>
    <x v="0"/>
    <n v="664.33"/>
    <x v="237"/>
    <s v="Bank Transfer"/>
    <x v="1"/>
  </r>
  <r>
    <n v="1032"/>
    <x v="78"/>
    <x v="4"/>
    <x v="1"/>
    <x v="238"/>
    <x v="21"/>
    <x v="1"/>
    <n v="651"/>
    <x v="238"/>
    <s v="Bank Transfer"/>
    <x v="1"/>
  </r>
  <r>
    <n v="1068"/>
    <x v="164"/>
    <x v="0"/>
    <x v="0"/>
    <x v="239"/>
    <x v="33"/>
    <x v="2"/>
    <n v="3619.61"/>
    <x v="239"/>
    <s v="Bank Transfer"/>
    <x v="0"/>
  </r>
  <r>
    <n v="1055"/>
    <x v="165"/>
    <x v="3"/>
    <x v="0"/>
    <x v="240"/>
    <x v="11"/>
    <x v="0"/>
    <n v="959.73"/>
    <x v="240"/>
    <s v="Bank Transfer"/>
    <x v="0"/>
  </r>
  <r>
    <n v="1075"/>
    <x v="117"/>
    <x v="0"/>
    <x v="3"/>
    <x v="241"/>
    <x v="35"/>
    <x v="1"/>
    <n v="1675.51"/>
    <x v="241"/>
    <s v="Bank Transfer"/>
    <x v="0"/>
  </r>
  <r>
    <n v="1056"/>
    <x v="28"/>
    <x v="1"/>
    <x v="1"/>
    <x v="242"/>
    <x v="20"/>
    <x v="0"/>
    <n v="2461.6999999999998"/>
    <x v="242"/>
    <s v="Cash"/>
    <x v="1"/>
  </r>
  <r>
    <n v="1017"/>
    <x v="166"/>
    <x v="1"/>
    <x v="3"/>
    <x v="243"/>
    <x v="21"/>
    <x v="1"/>
    <n v="172.59"/>
    <x v="243"/>
    <s v="Bank Transfer"/>
    <x v="0"/>
  </r>
  <r>
    <n v="1038"/>
    <x v="163"/>
    <x v="1"/>
    <x v="3"/>
    <x v="244"/>
    <x v="21"/>
    <x v="1"/>
    <n v="1281.6500000000001"/>
    <x v="244"/>
    <s v="Credit Card"/>
    <x v="0"/>
  </r>
  <r>
    <n v="1024"/>
    <x v="167"/>
    <x v="4"/>
    <x v="1"/>
    <x v="245"/>
    <x v="31"/>
    <x v="1"/>
    <n v="2069.0500000000002"/>
    <x v="245"/>
    <s v="Cash"/>
    <x v="0"/>
  </r>
  <r>
    <n v="1069"/>
    <x v="168"/>
    <x v="1"/>
    <x v="1"/>
    <x v="246"/>
    <x v="31"/>
    <x v="2"/>
    <n v="1434.2"/>
    <x v="246"/>
    <s v="Credit Card"/>
    <x v="1"/>
  </r>
  <r>
    <n v="1098"/>
    <x v="96"/>
    <x v="3"/>
    <x v="1"/>
    <x v="247"/>
    <x v="9"/>
    <x v="0"/>
    <n v="725.03"/>
    <x v="247"/>
    <s v="Bank Transfer"/>
    <x v="0"/>
  </r>
  <r>
    <n v="1070"/>
    <x v="113"/>
    <x v="0"/>
    <x v="2"/>
    <x v="248"/>
    <x v="13"/>
    <x v="3"/>
    <n v="3653.66"/>
    <x v="248"/>
    <s v="Credit Card"/>
    <x v="1"/>
  </r>
  <r>
    <n v="1086"/>
    <x v="169"/>
    <x v="2"/>
    <x v="1"/>
    <x v="249"/>
    <x v="1"/>
    <x v="3"/>
    <n v="4075.08"/>
    <x v="249"/>
    <s v="Cash"/>
    <x v="0"/>
  </r>
  <r>
    <n v="1011"/>
    <x v="170"/>
    <x v="3"/>
    <x v="0"/>
    <x v="250"/>
    <x v="33"/>
    <x v="3"/>
    <n v="1324.52"/>
    <x v="250"/>
    <s v="Cash"/>
    <x v="1"/>
  </r>
  <r>
    <n v="1016"/>
    <x v="59"/>
    <x v="3"/>
    <x v="3"/>
    <x v="251"/>
    <x v="34"/>
    <x v="3"/>
    <n v="3883.38"/>
    <x v="251"/>
    <s v="Cash"/>
    <x v="0"/>
  </r>
  <r>
    <n v="1097"/>
    <x v="37"/>
    <x v="1"/>
    <x v="2"/>
    <x v="252"/>
    <x v="22"/>
    <x v="1"/>
    <n v="1958.49"/>
    <x v="252"/>
    <s v="Credit Card"/>
    <x v="0"/>
  </r>
  <r>
    <n v="1073"/>
    <x v="129"/>
    <x v="4"/>
    <x v="1"/>
    <x v="253"/>
    <x v="27"/>
    <x v="0"/>
    <n v="2558.09"/>
    <x v="253"/>
    <s v="Cash"/>
    <x v="0"/>
  </r>
  <r>
    <n v="1059"/>
    <x v="150"/>
    <x v="0"/>
    <x v="2"/>
    <x v="254"/>
    <x v="25"/>
    <x v="0"/>
    <n v="4287.21"/>
    <x v="254"/>
    <s v="Credit Card"/>
    <x v="1"/>
  </r>
  <r>
    <n v="1070"/>
    <x v="171"/>
    <x v="4"/>
    <x v="1"/>
    <x v="255"/>
    <x v="29"/>
    <x v="2"/>
    <n v="3762.27"/>
    <x v="255"/>
    <s v="Bank Transfer"/>
    <x v="0"/>
  </r>
  <r>
    <n v="1080"/>
    <x v="172"/>
    <x v="0"/>
    <x v="2"/>
    <x v="256"/>
    <x v="20"/>
    <x v="0"/>
    <n v="4035.33"/>
    <x v="256"/>
    <s v="Bank Transfer"/>
    <x v="0"/>
  </r>
  <r>
    <n v="1093"/>
    <x v="173"/>
    <x v="0"/>
    <x v="3"/>
    <x v="257"/>
    <x v="1"/>
    <x v="0"/>
    <n v="727.38"/>
    <x v="257"/>
    <s v="Credit Card"/>
    <x v="1"/>
  </r>
  <r>
    <n v="1003"/>
    <x v="174"/>
    <x v="4"/>
    <x v="3"/>
    <x v="258"/>
    <x v="1"/>
    <x v="0"/>
    <n v="395.11"/>
    <x v="258"/>
    <s v="Cash"/>
    <x v="1"/>
  </r>
  <r>
    <n v="1020"/>
    <x v="175"/>
    <x v="3"/>
    <x v="0"/>
    <x v="259"/>
    <x v="42"/>
    <x v="2"/>
    <n v="4472.3500000000004"/>
    <x v="259"/>
    <s v="Credit Card"/>
    <x v="1"/>
  </r>
  <r>
    <n v="1059"/>
    <x v="109"/>
    <x v="0"/>
    <x v="0"/>
    <x v="260"/>
    <x v="4"/>
    <x v="3"/>
    <n v="1969.78"/>
    <x v="260"/>
    <s v="Credit Card"/>
    <x v="1"/>
  </r>
  <r>
    <n v="1036"/>
    <x v="162"/>
    <x v="4"/>
    <x v="1"/>
    <x v="261"/>
    <x v="1"/>
    <x v="0"/>
    <n v="1475"/>
    <x v="261"/>
    <s v="Credit Card"/>
    <x v="0"/>
  </r>
  <r>
    <n v="1019"/>
    <x v="26"/>
    <x v="0"/>
    <x v="3"/>
    <x v="262"/>
    <x v="34"/>
    <x v="2"/>
    <n v="3637.25"/>
    <x v="262"/>
    <s v="Bank Transfer"/>
    <x v="0"/>
  </r>
  <r>
    <n v="1090"/>
    <x v="170"/>
    <x v="2"/>
    <x v="2"/>
    <x v="263"/>
    <x v="1"/>
    <x v="2"/>
    <n v="4190.26"/>
    <x v="263"/>
    <s v="Credit Card"/>
    <x v="1"/>
  </r>
  <r>
    <n v="1067"/>
    <x v="8"/>
    <x v="3"/>
    <x v="2"/>
    <x v="264"/>
    <x v="10"/>
    <x v="1"/>
    <n v="4319.32"/>
    <x v="264"/>
    <s v="Bank Transfer"/>
    <x v="0"/>
  </r>
  <r>
    <n v="1019"/>
    <x v="18"/>
    <x v="1"/>
    <x v="2"/>
    <x v="265"/>
    <x v="28"/>
    <x v="2"/>
    <n v="1614.19"/>
    <x v="265"/>
    <s v="Credit Card"/>
    <x v="1"/>
  </r>
  <r>
    <n v="1020"/>
    <x v="176"/>
    <x v="0"/>
    <x v="0"/>
    <x v="266"/>
    <x v="27"/>
    <x v="3"/>
    <n v="4268.45"/>
    <x v="266"/>
    <s v="Bank Transfer"/>
    <x v="0"/>
  </r>
  <r>
    <n v="1096"/>
    <x v="67"/>
    <x v="2"/>
    <x v="2"/>
    <x v="267"/>
    <x v="32"/>
    <x v="0"/>
    <n v="252.62"/>
    <x v="267"/>
    <s v="Credit Card"/>
    <x v="1"/>
  </r>
  <r>
    <n v="1071"/>
    <x v="177"/>
    <x v="1"/>
    <x v="0"/>
    <x v="268"/>
    <x v="22"/>
    <x v="2"/>
    <n v="295.82"/>
    <x v="268"/>
    <s v="Credit Card"/>
    <x v="0"/>
  </r>
  <r>
    <n v="1052"/>
    <x v="178"/>
    <x v="1"/>
    <x v="0"/>
    <x v="269"/>
    <x v="7"/>
    <x v="3"/>
    <n v="3136.42"/>
    <x v="269"/>
    <s v="Cash"/>
    <x v="1"/>
  </r>
  <r>
    <n v="1033"/>
    <x v="113"/>
    <x v="0"/>
    <x v="1"/>
    <x v="270"/>
    <x v="28"/>
    <x v="2"/>
    <n v="362.38"/>
    <x v="270"/>
    <s v="Cash"/>
    <x v="1"/>
  </r>
  <r>
    <n v="1040"/>
    <x v="16"/>
    <x v="4"/>
    <x v="2"/>
    <x v="271"/>
    <x v="20"/>
    <x v="2"/>
    <n v="1656.82"/>
    <x v="271"/>
    <s v="Credit Card"/>
    <x v="0"/>
  </r>
  <r>
    <n v="1039"/>
    <x v="168"/>
    <x v="0"/>
    <x v="2"/>
    <x v="272"/>
    <x v="29"/>
    <x v="2"/>
    <n v="3380.14"/>
    <x v="272"/>
    <s v="Credit Card"/>
    <x v="0"/>
  </r>
  <r>
    <n v="1082"/>
    <x v="179"/>
    <x v="2"/>
    <x v="3"/>
    <x v="273"/>
    <x v="13"/>
    <x v="2"/>
    <n v="1719.47"/>
    <x v="273"/>
    <s v="Credit Card"/>
    <x v="0"/>
  </r>
  <r>
    <n v="1001"/>
    <x v="180"/>
    <x v="1"/>
    <x v="1"/>
    <x v="274"/>
    <x v="30"/>
    <x v="2"/>
    <n v="939.02"/>
    <x v="274"/>
    <s v="Credit Card"/>
    <x v="1"/>
  </r>
  <r>
    <n v="1011"/>
    <x v="181"/>
    <x v="0"/>
    <x v="3"/>
    <x v="275"/>
    <x v="4"/>
    <x v="3"/>
    <n v="1442.69"/>
    <x v="275"/>
    <s v="Cash"/>
    <x v="0"/>
  </r>
  <r>
    <n v="1092"/>
    <x v="76"/>
    <x v="4"/>
    <x v="1"/>
    <x v="276"/>
    <x v="37"/>
    <x v="0"/>
    <n v="2315"/>
    <x v="276"/>
    <s v="Bank Transfer"/>
    <x v="1"/>
  </r>
  <r>
    <n v="1057"/>
    <x v="92"/>
    <x v="0"/>
    <x v="2"/>
    <x v="277"/>
    <x v="17"/>
    <x v="0"/>
    <n v="2403.16"/>
    <x v="277"/>
    <s v="Credit Card"/>
    <x v="0"/>
  </r>
  <r>
    <n v="1089"/>
    <x v="177"/>
    <x v="3"/>
    <x v="0"/>
    <x v="278"/>
    <x v="22"/>
    <x v="0"/>
    <n v="3925.85"/>
    <x v="278"/>
    <s v="Cash"/>
    <x v="0"/>
  </r>
  <r>
    <n v="1050"/>
    <x v="141"/>
    <x v="4"/>
    <x v="0"/>
    <x v="279"/>
    <x v="32"/>
    <x v="0"/>
    <n v="3763.26"/>
    <x v="279"/>
    <s v="Credit Card"/>
    <x v="1"/>
  </r>
  <r>
    <n v="1023"/>
    <x v="40"/>
    <x v="2"/>
    <x v="0"/>
    <x v="280"/>
    <x v="47"/>
    <x v="3"/>
    <n v="2311.25"/>
    <x v="280"/>
    <s v="Credit Card"/>
    <x v="1"/>
  </r>
  <r>
    <n v="1031"/>
    <x v="182"/>
    <x v="1"/>
    <x v="0"/>
    <x v="281"/>
    <x v="33"/>
    <x v="1"/>
    <n v="4236.05"/>
    <x v="281"/>
    <s v="Bank Transfer"/>
    <x v="0"/>
  </r>
  <r>
    <n v="1094"/>
    <x v="113"/>
    <x v="0"/>
    <x v="0"/>
    <x v="282"/>
    <x v="37"/>
    <x v="1"/>
    <n v="615.47"/>
    <x v="282"/>
    <s v="Credit Card"/>
    <x v="1"/>
  </r>
  <r>
    <n v="1042"/>
    <x v="183"/>
    <x v="4"/>
    <x v="3"/>
    <x v="283"/>
    <x v="18"/>
    <x v="3"/>
    <n v="1314"/>
    <x v="283"/>
    <s v="Credit Card"/>
    <x v="1"/>
  </r>
  <r>
    <n v="1099"/>
    <x v="143"/>
    <x v="3"/>
    <x v="1"/>
    <x v="284"/>
    <x v="44"/>
    <x v="3"/>
    <n v="4148.4799999999996"/>
    <x v="284"/>
    <s v="Bank Transfer"/>
    <x v="0"/>
  </r>
  <r>
    <n v="1007"/>
    <x v="180"/>
    <x v="4"/>
    <x v="2"/>
    <x v="285"/>
    <x v="24"/>
    <x v="2"/>
    <n v="1921.07"/>
    <x v="285"/>
    <s v="Bank Transfer"/>
    <x v="1"/>
  </r>
  <r>
    <n v="1016"/>
    <x v="184"/>
    <x v="3"/>
    <x v="3"/>
    <x v="286"/>
    <x v="42"/>
    <x v="2"/>
    <n v="4906.8500000000004"/>
    <x v="286"/>
    <s v="Bank Transfer"/>
    <x v="0"/>
  </r>
  <r>
    <n v="1090"/>
    <x v="160"/>
    <x v="2"/>
    <x v="1"/>
    <x v="287"/>
    <x v="20"/>
    <x v="2"/>
    <n v="2357.9499999999998"/>
    <x v="287"/>
    <s v="Bank Transfer"/>
    <x v="0"/>
  </r>
  <r>
    <n v="1060"/>
    <x v="185"/>
    <x v="1"/>
    <x v="0"/>
    <x v="288"/>
    <x v="47"/>
    <x v="0"/>
    <n v="3970.08"/>
    <x v="288"/>
    <s v="Cash"/>
    <x v="1"/>
  </r>
  <r>
    <n v="1002"/>
    <x v="149"/>
    <x v="2"/>
    <x v="1"/>
    <x v="289"/>
    <x v="42"/>
    <x v="2"/>
    <n v="2041.42"/>
    <x v="289"/>
    <s v="Cash"/>
    <x v="0"/>
  </r>
  <r>
    <n v="1001"/>
    <x v="186"/>
    <x v="0"/>
    <x v="1"/>
    <x v="290"/>
    <x v="46"/>
    <x v="1"/>
    <n v="2153.52"/>
    <x v="290"/>
    <s v="Cash"/>
    <x v="1"/>
  </r>
  <r>
    <n v="1048"/>
    <x v="187"/>
    <x v="4"/>
    <x v="0"/>
    <x v="291"/>
    <x v="32"/>
    <x v="0"/>
    <n v="1945.27"/>
    <x v="291"/>
    <s v="Credit Card"/>
    <x v="0"/>
  </r>
  <r>
    <n v="1012"/>
    <x v="24"/>
    <x v="3"/>
    <x v="0"/>
    <x v="292"/>
    <x v="32"/>
    <x v="2"/>
    <n v="3609.42"/>
    <x v="292"/>
    <s v="Bank Transfer"/>
    <x v="1"/>
  </r>
  <r>
    <n v="1069"/>
    <x v="188"/>
    <x v="3"/>
    <x v="0"/>
    <x v="293"/>
    <x v="0"/>
    <x v="0"/>
    <n v="2760.21"/>
    <x v="293"/>
    <s v="Bank Transfer"/>
    <x v="1"/>
  </r>
  <r>
    <n v="1037"/>
    <x v="189"/>
    <x v="4"/>
    <x v="2"/>
    <x v="294"/>
    <x v="41"/>
    <x v="1"/>
    <n v="4721.7"/>
    <x v="294"/>
    <s v="Cash"/>
    <x v="1"/>
  </r>
  <r>
    <n v="1032"/>
    <x v="178"/>
    <x v="4"/>
    <x v="0"/>
    <x v="295"/>
    <x v="1"/>
    <x v="2"/>
    <n v="1291.9100000000001"/>
    <x v="295"/>
    <s v="Credit Card"/>
    <x v="1"/>
  </r>
  <r>
    <n v="1009"/>
    <x v="82"/>
    <x v="0"/>
    <x v="2"/>
    <x v="296"/>
    <x v="28"/>
    <x v="1"/>
    <n v="547.79"/>
    <x v="296"/>
    <s v="Credit Card"/>
    <x v="1"/>
  </r>
  <r>
    <n v="1099"/>
    <x v="95"/>
    <x v="2"/>
    <x v="0"/>
    <x v="297"/>
    <x v="28"/>
    <x v="1"/>
    <n v="1996.64"/>
    <x v="297"/>
    <s v="Credit Card"/>
    <x v="0"/>
  </r>
  <r>
    <n v="1019"/>
    <x v="190"/>
    <x v="3"/>
    <x v="2"/>
    <x v="298"/>
    <x v="4"/>
    <x v="1"/>
    <n v="3102.73"/>
    <x v="298"/>
    <s v="Cash"/>
    <x v="0"/>
  </r>
  <r>
    <n v="1048"/>
    <x v="191"/>
    <x v="0"/>
    <x v="1"/>
    <x v="299"/>
    <x v="48"/>
    <x v="2"/>
    <n v="4310.95"/>
    <x v="299"/>
    <s v="Credit Card"/>
    <x v="1"/>
  </r>
  <r>
    <n v="1080"/>
    <x v="192"/>
    <x v="2"/>
    <x v="3"/>
    <x v="300"/>
    <x v="16"/>
    <x v="3"/>
    <n v="1763.67"/>
    <x v="300"/>
    <s v="Credit Card"/>
    <x v="0"/>
  </r>
  <r>
    <n v="1003"/>
    <x v="160"/>
    <x v="0"/>
    <x v="1"/>
    <x v="301"/>
    <x v="13"/>
    <x v="2"/>
    <n v="3286.24"/>
    <x v="301"/>
    <s v="Credit Card"/>
    <x v="1"/>
  </r>
  <r>
    <n v="1020"/>
    <x v="101"/>
    <x v="3"/>
    <x v="1"/>
    <x v="302"/>
    <x v="12"/>
    <x v="1"/>
    <n v="1783.48"/>
    <x v="302"/>
    <s v="Bank Transfer"/>
    <x v="1"/>
  </r>
  <r>
    <n v="1024"/>
    <x v="193"/>
    <x v="4"/>
    <x v="0"/>
    <x v="303"/>
    <x v="8"/>
    <x v="2"/>
    <n v="3105.24"/>
    <x v="303"/>
    <s v="Cash"/>
    <x v="0"/>
  </r>
  <r>
    <n v="1054"/>
    <x v="43"/>
    <x v="4"/>
    <x v="2"/>
    <x v="304"/>
    <x v="20"/>
    <x v="1"/>
    <n v="4429.8"/>
    <x v="304"/>
    <s v="Bank Transfer"/>
    <x v="0"/>
  </r>
  <r>
    <n v="1033"/>
    <x v="55"/>
    <x v="2"/>
    <x v="3"/>
    <x v="305"/>
    <x v="16"/>
    <x v="3"/>
    <n v="1195.22"/>
    <x v="305"/>
    <s v="Bank Transfer"/>
    <x v="1"/>
  </r>
  <r>
    <n v="1024"/>
    <x v="194"/>
    <x v="1"/>
    <x v="0"/>
    <x v="306"/>
    <x v="22"/>
    <x v="0"/>
    <n v="2051"/>
    <x v="306"/>
    <s v="Cash"/>
    <x v="1"/>
  </r>
  <r>
    <n v="1075"/>
    <x v="195"/>
    <x v="2"/>
    <x v="0"/>
    <x v="307"/>
    <x v="1"/>
    <x v="3"/>
    <n v="4966.66"/>
    <x v="307"/>
    <s v="Bank Transfer"/>
    <x v="1"/>
  </r>
  <r>
    <n v="1072"/>
    <x v="196"/>
    <x v="1"/>
    <x v="0"/>
    <x v="308"/>
    <x v="22"/>
    <x v="3"/>
    <n v="4349.3599999999997"/>
    <x v="308"/>
    <s v="Credit Card"/>
    <x v="1"/>
  </r>
  <r>
    <n v="1036"/>
    <x v="78"/>
    <x v="0"/>
    <x v="1"/>
    <x v="309"/>
    <x v="12"/>
    <x v="0"/>
    <n v="2844.97"/>
    <x v="309"/>
    <s v="Credit Card"/>
    <x v="1"/>
  </r>
  <r>
    <n v="1038"/>
    <x v="102"/>
    <x v="0"/>
    <x v="2"/>
    <x v="310"/>
    <x v="46"/>
    <x v="2"/>
    <n v="2607.31"/>
    <x v="310"/>
    <s v="Credit Card"/>
    <x v="1"/>
  </r>
  <r>
    <n v="1084"/>
    <x v="2"/>
    <x v="3"/>
    <x v="2"/>
    <x v="311"/>
    <x v="43"/>
    <x v="0"/>
    <n v="1458.77"/>
    <x v="311"/>
    <s v="Credit Card"/>
    <x v="0"/>
  </r>
  <r>
    <n v="1099"/>
    <x v="164"/>
    <x v="1"/>
    <x v="3"/>
    <x v="312"/>
    <x v="22"/>
    <x v="2"/>
    <n v="2610.19"/>
    <x v="312"/>
    <s v="Cash"/>
    <x v="1"/>
  </r>
  <r>
    <n v="1089"/>
    <x v="197"/>
    <x v="3"/>
    <x v="2"/>
    <x v="313"/>
    <x v="5"/>
    <x v="2"/>
    <n v="4248.5"/>
    <x v="313"/>
    <s v="Bank Transfer"/>
    <x v="1"/>
  </r>
  <r>
    <n v="1099"/>
    <x v="198"/>
    <x v="4"/>
    <x v="2"/>
    <x v="314"/>
    <x v="10"/>
    <x v="1"/>
    <n v="3441.61"/>
    <x v="314"/>
    <s v="Bank Transfer"/>
    <x v="0"/>
  </r>
  <r>
    <n v="1025"/>
    <x v="108"/>
    <x v="1"/>
    <x v="0"/>
    <x v="315"/>
    <x v="16"/>
    <x v="1"/>
    <n v="1485.72"/>
    <x v="315"/>
    <s v="Credit Card"/>
    <x v="1"/>
  </r>
  <r>
    <n v="1093"/>
    <x v="199"/>
    <x v="2"/>
    <x v="0"/>
    <x v="316"/>
    <x v="11"/>
    <x v="0"/>
    <n v="1047.25"/>
    <x v="316"/>
    <s v="Credit Card"/>
    <x v="1"/>
  </r>
  <r>
    <n v="1018"/>
    <x v="200"/>
    <x v="4"/>
    <x v="1"/>
    <x v="317"/>
    <x v="38"/>
    <x v="3"/>
    <n v="1362.78"/>
    <x v="317"/>
    <s v="Bank Transfer"/>
    <x v="0"/>
  </r>
  <r>
    <n v="1082"/>
    <x v="201"/>
    <x v="4"/>
    <x v="0"/>
    <x v="318"/>
    <x v="1"/>
    <x v="0"/>
    <n v="890.31"/>
    <x v="318"/>
    <s v="Cash"/>
    <x v="1"/>
  </r>
  <r>
    <n v="1066"/>
    <x v="202"/>
    <x v="2"/>
    <x v="0"/>
    <x v="319"/>
    <x v="48"/>
    <x v="2"/>
    <n v="523.41999999999996"/>
    <x v="319"/>
    <s v="Bank Transfer"/>
    <x v="0"/>
  </r>
  <r>
    <n v="1054"/>
    <x v="164"/>
    <x v="4"/>
    <x v="0"/>
    <x v="320"/>
    <x v="8"/>
    <x v="1"/>
    <n v="2124.7199999999998"/>
    <x v="320"/>
    <s v="Credit Card"/>
    <x v="1"/>
  </r>
  <r>
    <n v="1035"/>
    <x v="108"/>
    <x v="1"/>
    <x v="0"/>
    <x v="321"/>
    <x v="21"/>
    <x v="0"/>
    <n v="610.83000000000004"/>
    <x v="321"/>
    <s v="Credit Card"/>
    <x v="0"/>
  </r>
  <r>
    <n v="1080"/>
    <x v="68"/>
    <x v="3"/>
    <x v="1"/>
    <x v="322"/>
    <x v="22"/>
    <x v="0"/>
    <n v="900.97"/>
    <x v="322"/>
    <s v="Cash"/>
    <x v="0"/>
  </r>
  <r>
    <n v="1061"/>
    <x v="89"/>
    <x v="4"/>
    <x v="0"/>
    <x v="323"/>
    <x v="5"/>
    <x v="1"/>
    <n v="2759.26"/>
    <x v="323"/>
    <s v="Bank Transfer"/>
    <x v="0"/>
  </r>
  <r>
    <n v="1041"/>
    <x v="203"/>
    <x v="1"/>
    <x v="3"/>
    <x v="324"/>
    <x v="43"/>
    <x v="1"/>
    <n v="864.77"/>
    <x v="324"/>
    <s v="Cash"/>
    <x v="1"/>
  </r>
  <r>
    <n v="1100"/>
    <x v="77"/>
    <x v="0"/>
    <x v="3"/>
    <x v="325"/>
    <x v="4"/>
    <x v="1"/>
    <n v="366.2"/>
    <x v="325"/>
    <s v="Cash"/>
    <x v="1"/>
  </r>
  <r>
    <n v="1033"/>
    <x v="163"/>
    <x v="1"/>
    <x v="3"/>
    <x v="326"/>
    <x v="32"/>
    <x v="2"/>
    <n v="1621.07"/>
    <x v="326"/>
    <s v="Credit Card"/>
    <x v="0"/>
  </r>
  <r>
    <n v="1068"/>
    <x v="29"/>
    <x v="3"/>
    <x v="3"/>
    <x v="327"/>
    <x v="28"/>
    <x v="1"/>
    <n v="1140.58"/>
    <x v="327"/>
    <s v="Bank Transfer"/>
    <x v="0"/>
  </r>
  <r>
    <n v="1033"/>
    <x v="204"/>
    <x v="1"/>
    <x v="0"/>
    <x v="328"/>
    <x v="35"/>
    <x v="3"/>
    <n v="2600.7600000000002"/>
    <x v="328"/>
    <s v="Credit Card"/>
    <x v="1"/>
  </r>
  <r>
    <n v="1014"/>
    <x v="205"/>
    <x v="2"/>
    <x v="3"/>
    <x v="329"/>
    <x v="10"/>
    <x v="0"/>
    <n v="556.72"/>
    <x v="329"/>
    <s v="Bank Transfer"/>
    <x v="1"/>
  </r>
  <r>
    <n v="1021"/>
    <x v="90"/>
    <x v="3"/>
    <x v="0"/>
    <x v="330"/>
    <x v="13"/>
    <x v="1"/>
    <n v="3771.27"/>
    <x v="330"/>
    <s v="Credit Card"/>
    <x v="1"/>
  </r>
  <r>
    <n v="1048"/>
    <x v="206"/>
    <x v="0"/>
    <x v="1"/>
    <x v="331"/>
    <x v="20"/>
    <x v="1"/>
    <n v="4535.8599999999997"/>
    <x v="331"/>
    <s v="Credit Card"/>
    <x v="1"/>
  </r>
  <r>
    <n v="1020"/>
    <x v="207"/>
    <x v="2"/>
    <x v="3"/>
    <x v="332"/>
    <x v="41"/>
    <x v="2"/>
    <n v="3730"/>
    <x v="332"/>
    <s v="Bank Transfer"/>
    <x v="1"/>
  </r>
  <r>
    <n v="1008"/>
    <x v="208"/>
    <x v="1"/>
    <x v="2"/>
    <x v="333"/>
    <x v="11"/>
    <x v="2"/>
    <n v="2687.49"/>
    <x v="333"/>
    <s v="Bank Transfer"/>
    <x v="0"/>
  </r>
  <r>
    <n v="1007"/>
    <x v="14"/>
    <x v="3"/>
    <x v="3"/>
    <x v="334"/>
    <x v="25"/>
    <x v="0"/>
    <n v="4310.3100000000004"/>
    <x v="334"/>
    <s v="Credit Card"/>
    <x v="1"/>
  </r>
  <r>
    <n v="1067"/>
    <x v="119"/>
    <x v="0"/>
    <x v="3"/>
    <x v="335"/>
    <x v="40"/>
    <x v="3"/>
    <n v="3489.85"/>
    <x v="335"/>
    <s v="Bank Transfer"/>
    <x v="0"/>
  </r>
  <r>
    <n v="1017"/>
    <x v="156"/>
    <x v="2"/>
    <x v="0"/>
    <x v="336"/>
    <x v="25"/>
    <x v="0"/>
    <n v="102.23"/>
    <x v="336"/>
    <s v="Credit Card"/>
    <x v="1"/>
  </r>
  <r>
    <n v="1033"/>
    <x v="123"/>
    <x v="0"/>
    <x v="3"/>
    <x v="337"/>
    <x v="41"/>
    <x v="1"/>
    <n v="2000.75"/>
    <x v="337"/>
    <s v="Bank Transfer"/>
    <x v="0"/>
  </r>
  <r>
    <n v="1048"/>
    <x v="154"/>
    <x v="1"/>
    <x v="2"/>
    <x v="338"/>
    <x v="27"/>
    <x v="3"/>
    <n v="4262.21"/>
    <x v="338"/>
    <s v="Credit Card"/>
    <x v="0"/>
  </r>
  <r>
    <n v="1076"/>
    <x v="2"/>
    <x v="0"/>
    <x v="0"/>
    <x v="339"/>
    <x v="42"/>
    <x v="3"/>
    <n v="1762"/>
    <x v="339"/>
    <s v="Credit Card"/>
    <x v="1"/>
  </r>
  <r>
    <n v="1059"/>
    <x v="96"/>
    <x v="4"/>
    <x v="0"/>
    <x v="340"/>
    <x v="40"/>
    <x v="3"/>
    <n v="224.32"/>
    <x v="340"/>
    <s v="Credit Card"/>
    <x v="0"/>
  </r>
  <r>
    <n v="1086"/>
    <x v="209"/>
    <x v="2"/>
    <x v="1"/>
    <x v="341"/>
    <x v="5"/>
    <x v="3"/>
    <n v="3743.59"/>
    <x v="341"/>
    <s v="Cash"/>
    <x v="0"/>
  </r>
  <r>
    <n v="1022"/>
    <x v="210"/>
    <x v="0"/>
    <x v="1"/>
    <x v="342"/>
    <x v="27"/>
    <x v="0"/>
    <n v="4020.09"/>
    <x v="342"/>
    <s v="Bank Transfer"/>
    <x v="0"/>
  </r>
  <r>
    <n v="1030"/>
    <x v="101"/>
    <x v="1"/>
    <x v="3"/>
    <x v="343"/>
    <x v="39"/>
    <x v="2"/>
    <n v="844.94"/>
    <x v="343"/>
    <s v="Credit Card"/>
    <x v="0"/>
  </r>
  <r>
    <n v="1038"/>
    <x v="108"/>
    <x v="1"/>
    <x v="1"/>
    <x v="344"/>
    <x v="17"/>
    <x v="2"/>
    <n v="2709.84"/>
    <x v="344"/>
    <s v="Cash"/>
    <x v="1"/>
  </r>
  <r>
    <n v="1051"/>
    <x v="211"/>
    <x v="0"/>
    <x v="1"/>
    <x v="345"/>
    <x v="45"/>
    <x v="1"/>
    <n v="1000.18"/>
    <x v="345"/>
    <s v="Credit Card"/>
    <x v="0"/>
  </r>
  <r>
    <n v="1054"/>
    <x v="146"/>
    <x v="1"/>
    <x v="1"/>
    <x v="346"/>
    <x v="29"/>
    <x v="2"/>
    <n v="3610.21"/>
    <x v="346"/>
    <s v="Cash"/>
    <x v="1"/>
  </r>
  <r>
    <n v="1008"/>
    <x v="98"/>
    <x v="3"/>
    <x v="0"/>
    <x v="347"/>
    <x v="38"/>
    <x v="2"/>
    <n v="1394.17"/>
    <x v="347"/>
    <s v="Credit Card"/>
    <x v="0"/>
  </r>
  <r>
    <n v="1027"/>
    <x v="162"/>
    <x v="3"/>
    <x v="0"/>
    <x v="348"/>
    <x v="13"/>
    <x v="2"/>
    <n v="1615.26"/>
    <x v="348"/>
    <s v="Credit Card"/>
    <x v="1"/>
  </r>
  <r>
    <n v="1027"/>
    <x v="34"/>
    <x v="3"/>
    <x v="0"/>
    <x v="349"/>
    <x v="8"/>
    <x v="2"/>
    <n v="4232.6099999999997"/>
    <x v="349"/>
    <s v="Cash"/>
    <x v="1"/>
  </r>
  <r>
    <n v="1098"/>
    <x v="27"/>
    <x v="4"/>
    <x v="1"/>
    <x v="350"/>
    <x v="17"/>
    <x v="1"/>
    <n v="2407.8000000000002"/>
    <x v="350"/>
    <s v="Cash"/>
    <x v="1"/>
  </r>
  <r>
    <n v="1021"/>
    <x v="212"/>
    <x v="0"/>
    <x v="0"/>
    <x v="351"/>
    <x v="14"/>
    <x v="0"/>
    <n v="3365.28"/>
    <x v="351"/>
    <s v="Bank Transfer"/>
    <x v="0"/>
  </r>
  <r>
    <n v="1030"/>
    <x v="128"/>
    <x v="4"/>
    <x v="1"/>
    <x v="352"/>
    <x v="3"/>
    <x v="3"/>
    <n v="2041.75"/>
    <x v="352"/>
    <s v="Bank Transfer"/>
    <x v="1"/>
  </r>
  <r>
    <n v="1097"/>
    <x v="213"/>
    <x v="1"/>
    <x v="0"/>
    <x v="353"/>
    <x v="27"/>
    <x v="2"/>
    <n v="1525.13"/>
    <x v="353"/>
    <s v="Cash"/>
    <x v="1"/>
  </r>
  <r>
    <n v="1028"/>
    <x v="67"/>
    <x v="4"/>
    <x v="0"/>
    <x v="354"/>
    <x v="39"/>
    <x v="0"/>
    <n v="3146.12"/>
    <x v="354"/>
    <s v="Bank Transfer"/>
    <x v="0"/>
  </r>
  <r>
    <n v="1064"/>
    <x v="214"/>
    <x v="1"/>
    <x v="2"/>
    <x v="355"/>
    <x v="29"/>
    <x v="2"/>
    <n v="816.54"/>
    <x v="355"/>
    <s v="Cash"/>
    <x v="1"/>
  </r>
  <r>
    <n v="1097"/>
    <x v="215"/>
    <x v="1"/>
    <x v="3"/>
    <x v="356"/>
    <x v="48"/>
    <x v="2"/>
    <n v="1896.35"/>
    <x v="356"/>
    <s v="Bank Transfer"/>
    <x v="0"/>
  </r>
  <r>
    <n v="1069"/>
    <x v="216"/>
    <x v="2"/>
    <x v="1"/>
    <x v="357"/>
    <x v="16"/>
    <x v="3"/>
    <n v="1084.73"/>
    <x v="357"/>
    <s v="Credit Card"/>
    <x v="0"/>
  </r>
  <r>
    <n v="1061"/>
    <x v="20"/>
    <x v="3"/>
    <x v="2"/>
    <x v="358"/>
    <x v="3"/>
    <x v="3"/>
    <n v="3494.19"/>
    <x v="358"/>
    <s v="Bank Transfer"/>
    <x v="1"/>
  </r>
  <r>
    <n v="1048"/>
    <x v="33"/>
    <x v="1"/>
    <x v="0"/>
    <x v="359"/>
    <x v="31"/>
    <x v="3"/>
    <n v="4723.83"/>
    <x v="359"/>
    <s v="Credit Card"/>
    <x v="0"/>
  </r>
  <r>
    <n v="1019"/>
    <x v="178"/>
    <x v="2"/>
    <x v="1"/>
    <x v="360"/>
    <x v="25"/>
    <x v="2"/>
    <n v="4977.78"/>
    <x v="360"/>
    <s v="Credit Card"/>
    <x v="0"/>
  </r>
  <r>
    <n v="1004"/>
    <x v="217"/>
    <x v="3"/>
    <x v="0"/>
    <x v="361"/>
    <x v="22"/>
    <x v="2"/>
    <n v="2278.87"/>
    <x v="361"/>
    <s v="Bank Transfer"/>
    <x v="0"/>
  </r>
  <r>
    <n v="1035"/>
    <x v="218"/>
    <x v="1"/>
    <x v="3"/>
    <x v="362"/>
    <x v="2"/>
    <x v="2"/>
    <n v="1300.03"/>
    <x v="362"/>
    <s v="Cash"/>
    <x v="1"/>
  </r>
  <r>
    <n v="1064"/>
    <x v="219"/>
    <x v="1"/>
    <x v="2"/>
    <x v="363"/>
    <x v="15"/>
    <x v="3"/>
    <n v="2242.0100000000002"/>
    <x v="363"/>
    <s v="Credit Card"/>
    <x v="0"/>
  </r>
  <r>
    <n v="1049"/>
    <x v="131"/>
    <x v="4"/>
    <x v="3"/>
    <x v="364"/>
    <x v="34"/>
    <x v="1"/>
    <n v="4243.9799999999996"/>
    <x v="364"/>
    <s v="Credit Card"/>
    <x v="0"/>
  </r>
  <r>
    <n v="1017"/>
    <x v="220"/>
    <x v="4"/>
    <x v="2"/>
    <x v="365"/>
    <x v="0"/>
    <x v="0"/>
    <n v="1069.73"/>
    <x v="365"/>
    <s v="Bank Transfer"/>
    <x v="0"/>
  </r>
  <r>
    <n v="1044"/>
    <x v="142"/>
    <x v="3"/>
    <x v="0"/>
    <x v="366"/>
    <x v="47"/>
    <x v="1"/>
    <n v="4762.87"/>
    <x v="366"/>
    <s v="Cash"/>
    <x v="1"/>
  </r>
  <r>
    <n v="1092"/>
    <x v="221"/>
    <x v="1"/>
    <x v="3"/>
    <x v="367"/>
    <x v="6"/>
    <x v="2"/>
    <n v="1742.24"/>
    <x v="367"/>
    <s v="Cash"/>
    <x v="0"/>
  </r>
  <r>
    <n v="1030"/>
    <x v="222"/>
    <x v="0"/>
    <x v="3"/>
    <x v="368"/>
    <x v="3"/>
    <x v="2"/>
    <n v="4929.7299999999996"/>
    <x v="368"/>
    <s v="Bank Transfer"/>
    <x v="1"/>
  </r>
  <r>
    <n v="1093"/>
    <x v="223"/>
    <x v="4"/>
    <x v="0"/>
    <x v="369"/>
    <x v="24"/>
    <x v="1"/>
    <n v="4201.1099999999997"/>
    <x v="369"/>
    <s v="Cash"/>
    <x v="0"/>
  </r>
  <r>
    <n v="1046"/>
    <x v="54"/>
    <x v="3"/>
    <x v="3"/>
    <x v="370"/>
    <x v="8"/>
    <x v="2"/>
    <n v="4052.42"/>
    <x v="370"/>
    <s v="Bank Transfer"/>
    <x v="1"/>
  </r>
  <r>
    <n v="1006"/>
    <x v="70"/>
    <x v="1"/>
    <x v="1"/>
    <x v="371"/>
    <x v="27"/>
    <x v="0"/>
    <n v="1623.63"/>
    <x v="371"/>
    <s v="Bank Transfer"/>
    <x v="1"/>
  </r>
  <r>
    <n v="1099"/>
    <x v="62"/>
    <x v="1"/>
    <x v="2"/>
    <x v="372"/>
    <x v="18"/>
    <x v="2"/>
    <n v="93.45"/>
    <x v="372"/>
    <s v="Bank Transfer"/>
    <x v="1"/>
  </r>
  <r>
    <n v="1037"/>
    <x v="224"/>
    <x v="0"/>
    <x v="2"/>
    <x v="373"/>
    <x v="47"/>
    <x v="0"/>
    <n v="1941.56"/>
    <x v="373"/>
    <s v="Credit Card"/>
    <x v="0"/>
  </r>
  <r>
    <n v="1024"/>
    <x v="195"/>
    <x v="3"/>
    <x v="2"/>
    <x v="374"/>
    <x v="2"/>
    <x v="1"/>
    <n v="1543.96"/>
    <x v="374"/>
    <s v="Credit Card"/>
    <x v="0"/>
  </r>
  <r>
    <n v="1093"/>
    <x v="11"/>
    <x v="1"/>
    <x v="1"/>
    <x v="375"/>
    <x v="32"/>
    <x v="1"/>
    <n v="235.12"/>
    <x v="375"/>
    <s v="Credit Card"/>
    <x v="0"/>
  </r>
  <r>
    <n v="1046"/>
    <x v="225"/>
    <x v="4"/>
    <x v="2"/>
    <x v="376"/>
    <x v="7"/>
    <x v="2"/>
    <n v="2551.56"/>
    <x v="376"/>
    <s v="Bank Transfer"/>
    <x v="1"/>
  </r>
  <r>
    <n v="1053"/>
    <x v="226"/>
    <x v="0"/>
    <x v="0"/>
    <x v="377"/>
    <x v="16"/>
    <x v="0"/>
    <n v="2045"/>
    <x v="377"/>
    <s v="Credit Card"/>
    <x v="0"/>
  </r>
  <r>
    <n v="1095"/>
    <x v="182"/>
    <x v="3"/>
    <x v="3"/>
    <x v="378"/>
    <x v="41"/>
    <x v="2"/>
    <n v="3191.05"/>
    <x v="378"/>
    <s v="Credit Card"/>
    <x v="0"/>
  </r>
  <r>
    <n v="1099"/>
    <x v="174"/>
    <x v="0"/>
    <x v="1"/>
    <x v="379"/>
    <x v="6"/>
    <x v="3"/>
    <n v="3124.87"/>
    <x v="379"/>
    <s v="Credit Card"/>
    <x v="1"/>
  </r>
  <r>
    <n v="1060"/>
    <x v="227"/>
    <x v="4"/>
    <x v="2"/>
    <x v="380"/>
    <x v="18"/>
    <x v="3"/>
    <n v="647.70000000000005"/>
    <x v="380"/>
    <s v="Bank Transfer"/>
    <x v="0"/>
  </r>
  <r>
    <n v="1097"/>
    <x v="228"/>
    <x v="3"/>
    <x v="0"/>
    <x v="381"/>
    <x v="32"/>
    <x v="3"/>
    <n v="4885.9799999999996"/>
    <x v="381"/>
    <s v="Bank Transfer"/>
    <x v="0"/>
  </r>
  <r>
    <n v="1063"/>
    <x v="166"/>
    <x v="0"/>
    <x v="3"/>
    <x v="382"/>
    <x v="5"/>
    <x v="3"/>
    <n v="975.31"/>
    <x v="382"/>
    <s v="Bank Transfer"/>
    <x v="1"/>
  </r>
  <r>
    <n v="1085"/>
    <x v="189"/>
    <x v="2"/>
    <x v="3"/>
    <x v="383"/>
    <x v="31"/>
    <x v="2"/>
    <n v="2254.11"/>
    <x v="383"/>
    <s v="Credit Card"/>
    <x v="1"/>
  </r>
  <r>
    <n v="1032"/>
    <x v="211"/>
    <x v="4"/>
    <x v="1"/>
    <x v="384"/>
    <x v="0"/>
    <x v="3"/>
    <n v="2466.1799999999998"/>
    <x v="384"/>
    <s v="Cash"/>
    <x v="0"/>
  </r>
  <r>
    <n v="1087"/>
    <x v="229"/>
    <x v="4"/>
    <x v="1"/>
    <x v="385"/>
    <x v="13"/>
    <x v="0"/>
    <n v="4074.66"/>
    <x v="385"/>
    <s v="Credit Card"/>
    <x v="1"/>
  </r>
  <r>
    <n v="1033"/>
    <x v="186"/>
    <x v="4"/>
    <x v="1"/>
    <x v="386"/>
    <x v="11"/>
    <x v="1"/>
    <n v="541.19000000000005"/>
    <x v="386"/>
    <s v="Credit Card"/>
    <x v="0"/>
  </r>
  <r>
    <n v="1067"/>
    <x v="173"/>
    <x v="2"/>
    <x v="0"/>
    <x v="387"/>
    <x v="5"/>
    <x v="1"/>
    <n v="2171.79"/>
    <x v="387"/>
    <s v="Bank Transfer"/>
    <x v="0"/>
  </r>
  <r>
    <n v="1018"/>
    <x v="185"/>
    <x v="2"/>
    <x v="0"/>
    <x v="388"/>
    <x v="14"/>
    <x v="3"/>
    <n v="3161.09"/>
    <x v="388"/>
    <s v="Bank Transfer"/>
    <x v="0"/>
  </r>
  <r>
    <n v="1025"/>
    <x v="230"/>
    <x v="1"/>
    <x v="1"/>
    <x v="389"/>
    <x v="35"/>
    <x v="3"/>
    <n v="1115.02"/>
    <x v="389"/>
    <s v="Credit Card"/>
    <x v="0"/>
  </r>
  <r>
    <n v="1095"/>
    <x v="137"/>
    <x v="0"/>
    <x v="2"/>
    <x v="390"/>
    <x v="15"/>
    <x v="3"/>
    <n v="3155.97"/>
    <x v="390"/>
    <s v="Credit Card"/>
    <x v="0"/>
  </r>
  <r>
    <n v="1054"/>
    <x v="230"/>
    <x v="1"/>
    <x v="3"/>
    <x v="391"/>
    <x v="46"/>
    <x v="2"/>
    <n v="4622.1400000000003"/>
    <x v="391"/>
    <s v="Cash"/>
    <x v="1"/>
  </r>
  <r>
    <n v="1058"/>
    <x v="107"/>
    <x v="0"/>
    <x v="3"/>
    <x v="392"/>
    <x v="32"/>
    <x v="1"/>
    <n v="4987.71"/>
    <x v="392"/>
    <s v="Cash"/>
    <x v="1"/>
  </r>
  <r>
    <n v="1067"/>
    <x v="231"/>
    <x v="2"/>
    <x v="0"/>
    <x v="393"/>
    <x v="10"/>
    <x v="3"/>
    <n v="210.63"/>
    <x v="393"/>
    <s v="Bank Transfer"/>
    <x v="0"/>
  </r>
  <r>
    <n v="1046"/>
    <x v="32"/>
    <x v="2"/>
    <x v="3"/>
    <x v="394"/>
    <x v="45"/>
    <x v="0"/>
    <n v="1216.1600000000001"/>
    <x v="394"/>
    <s v="Cash"/>
    <x v="1"/>
  </r>
  <r>
    <n v="1024"/>
    <x v="104"/>
    <x v="1"/>
    <x v="2"/>
    <x v="395"/>
    <x v="31"/>
    <x v="3"/>
    <n v="1586.02"/>
    <x v="395"/>
    <s v="Cash"/>
    <x v="1"/>
  </r>
  <r>
    <n v="1032"/>
    <x v="232"/>
    <x v="3"/>
    <x v="3"/>
    <x v="396"/>
    <x v="23"/>
    <x v="1"/>
    <n v="2025.67"/>
    <x v="396"/>
    <s v="Bank Transfer"/>
    <x v="0"/>
  </r>
  <r>
    <n v="1047"/>
    <x v="197"/>
    <x v="1"/>
    <x v="0"/>
    <x v="397"/>
    <x v="8"/>
    <x v="3"/>
    <n v="1249.17"/>
    <x v="397"/>
    <s v="Cash"/>
    <x v="1"/>
  </r>
  <r>
    <n v="1086"/>
    <x v="233"/>
    <x v="0"/>
    <x v="0"/>
    <x v="398"/>
    <x v="1"/>
    <x v="1"/>
    <n v="1057.27"/>
    <x v="398"/>
    <s v="Credit Card"/>
    <x v="1"/>
  </r>
  <r>
    <n v="1023"/>
    <x v="234"/>
    <x v="1"/>
    <x v="2"/>
    <x v="399"/>
    <x v="5"/>
    <x v="3"/>
    <n v="4775.04"/>
    <x v="399"/>
    <s v="Cash"/>
    <x v="0"/>
  </r>
  <r>
    <n v="1066"/>
    <x v="235"/>
    <x v="4"/>
    <x v="2"/>
    <x v="400"/>
    <x v="41"/>
    <x v="0"/>
    <n v="4596.68"/>
    <x v="400"/>
    <s v="Bank Transfer"/>
    <x v="0"/>
  </r>
  <r>
    <n v="1027"/>
    <x v="236"/>
    <x v="0"/>
    <x v="3"/>
    <x v="401"/>
    <x v="41"/>
    <x v="3"/>
    <n v="282.61"/>
    <x v="401"/>
    <s v="Credit Card"/>
    <x v="0"/>
  </r>
  <r>
    <n v="1002"/>
    <x v="21"/>
    <x v="0"/>
    <x v="3"/>
    <x v="402"/>
    <x v="1"/>
    <x v="0"/>
    <n v="1727.12"/>
    <x v="402"/>
    <s v="Cash"/>
    <x v="0"/>
  </r>
  <r>
    <n v="1090"/>
    <x v="168"/>
    <x v="3"/>
    <x v="0"/>
    <x v="403"/>
    <x v="36"/>
    <x v="0"/>
    <n v="2055.4899999999998"/>
    <x v="403"/>
    <s v="Credit Card"/>
    <x v="0"/>
  </r>
  <r>
    <n v="1017"/>
    <x v="157"/>
    <x v="2"/>
    <x v="2"/>
    <x v="404"/>
    <x v="12"/>
    <x v="3"/>
    <n v="1233.1199999999999"/>
    <x v="404"/>
    <s v="Credit Card"/>
    <x v="0"/>
  </r>
  <r>
    <n v="1033"/>
    <x v="237"/>
    <x v="0"/>
    <x v="2"/>
    <x v="405"/>
    <x v="47"/>
    <x v="0"/>
    <n v="3162.92"/>
    <x v="405"/>
    <s v="Cash"/>
    <x v="0"/>
  </r>
  <r>
    <n v="1009"/>
    <x v="238"/>
    <x v="2"/>
    <x v="2"/>
    <x v="406"/>
    <x v="5"/>
    <x v="2"/>
    <n v="3219.88"/>
    <x v="406"/>
    <s v="Cash"/>
    <x v="1"/>
  </r>
  <r>
    <n v="1043"/>
    <x v="186"/>
    <x v="1"/>
    <x v="3"/>
    <x v="407"/>
    <x v="33"/>
    <x v="3"/>
    <n v="4260"/>
    <x v="407"/>
    <s v="Bank Transfer"/>
    <x v="0"/>
  </r>
  <r>
    <n v="1048"/>
    <x v="62"/>
    <x v="4"/>
    <x v="2"/>
    <x v="408"/>
    <x v="32"/>
    <x v="3"/>
    <n v="3717.3"/>
    <x v="408"/>
    <s v="Bank Transfer"/>
    <x v="1"/>
  </r>
  <r>
    <n v="1039"/>
    <x v="37"/>
    <x v="3"/>
    <x v="0"/>
    <x v="409"/>
    <x v="22"/>
    <x v="0"/>
    <n v="2735.74"/>
    <x v="409"/>
    <s v="Credit Card"/>
    <x v="1"/>
  </r>
  <r>
    <n v="1093"/>
    <x v="49"/>
    <x v="2"/>
    <x v="0"/>
    <x v="410"/>
    <x v="33"/>
    <x v="0"/>
    <n v="3285.25"/>
    <x v="410"/>
    <s v="Bank Transfer"/>
    <x v="0"/>
  </r>
  <r>
    <n v="1042"/>
    <x v="239"/>
    <x v="0"/>
    <x v="3"/>
    <x v="411"/>
    <x v="21"/>
    <x v="3"/>
    <n v="1406.24"/>
    <x v="411"/>
    <s v="Credit Card"/>
    <x v="1"/>
  </r>
  <r>
    <n v="1026"/>
    <x v="173"/>
    <x v="2"/>
    <x v="1"/>
    <x v="412"/>
    <x v="46"/>
    <x v="2"/>
    <n v="2985.63"/>
    <x v="412"/>
    <s v="Credit Card"/>
    <x v="1"/>
  </r>
  <r>
    <n v="1099"/>
    <x v="240"/>
    <x v="0"/>
    <x v="3"/>
    <x v="413"/>
    <x v="33"/>
    <x v="0"/>
    <n v="2471.67"/>
    <x v="413"/>
    <s v="Bank Transfer"/>
    <x v="1"/>
  </r>
  <r>
    <n v="1050"/>
    <x v="5"/>
    <x v="2"/>
    <x v="1"/>
    <x v="414"/>
    <x v="10"/>
    <x v="0"/>
    <n v="710.06"/>
    <x v="414"/>
    <s v="Bank Transfer"/>
    <x v="0"/>
  </r>
  <r>
    <n v="1025"/>
    <x v="64"/>
    <x v="0"/>
    <x v="2"/>
    <x v="415"/>
    <x v="23"/>
    <x v="1"/>
    <n v="1250.5899999999999"/>
    <x v="415"/>
    <s v="Bank Transfer"/>
    <x v="1"/>
  </r>
  <r>
    <n v="1024"/>
    <x v="241"/>
    <x v="1"/>
    <x v="3"/>
    <x v="416"/>
    <x v="4"/>
    <x v="2"/>
    <n v="1493.88"/>
    <x v="416"/>
    <s v="Cash"/>
    <x v="1"/>
  </r>
  <r>
    <n v="1013"/>
    <x v="0"/>
    <x v="0"/>
    <x v="0"/>
    <x v="417"/>
    <x v="31"/>
    <x v="2"/>
    <n v="4625.33"/>
    <x v="417"/>
    <s v="Credit Card"/>
    <x v="0"/>
  </r>
  <r>
    <n v="1060"/>
    <x v="172"/>
    <x v="0"/>
    <x v="2"/>
    <x v="418"/>
    <x v="45"/>
    <x v="3"/>
    <n v="1190.4100000000001"/>
    <x v="418"/>
    <s v="Credit Card"/>
    <x v="1"/>
  </r>
  <r>
    <n v="1007"/>
    <x v="98"/>
    <x v="4"/>
    <x v="0"/>
    <x v="419"/>
    <x v="14"/>
    <x v="2"/>
    <n v="1481.76"/>
    <x v="419"/>
    <s v="Credit Card"/>
    <x v="1"/>
  </r>
  <r>
    <n v="1057"/>
    <x v="115"/>
    <x v="0"/>
    <x v="2"/>
    <x v="420"/>
    <x v="26"/>
    <x v="3"/>
    <n v="1878.3"/>
    <x v="420"/>
    <s v="Bank Transfer"/>
    <x v="1"/>
  </r>
  <r>
    <n v="1036"/>
    <x v="85"/>
    <x v="4"/>
    <x v="3"/>
    <x v="421"/>
    <x v="18"/>
    <x v="1"/>
    <n v="3335.53"/>
    <x v="421"/>
    <s v="Bank Transfer"/>
    <x v="1"/>
  </r>
  <r>
    <n v="1045"/>
    <x v="202"/>
    <x v="3"/>
    <x v="1"/>
    <x v="422"/>
    <x v="28"/>
    <x v="2"/>
    <n v="635.28"/>
    <x v="422"/>
    <s v="Bank Transfer"/>
    <x v="1"/>
  </r>
  <r>
    <n v="1020"/>
    <x v="167"/>
    <x v="4"/>
    <x v="2"/>
    <x v="423"/>
    <x v="19"/>
    <x v="0"/>
    <n v="4772.03"/>
    <x v="423"/>
    <s v="Bank Transfer"/>
    <x v="0"/>
  </r>
  <r>
    <n v="1065"/>
    <x v="242"/>
    <x v="1"/>
    <x v="1"/>
    <x v="424"/>
    <x v="0"/>
    <x v="1"/>
    <n v="4334.58"/>
    <x v="424"/>
    <s v="Bank Transfer"/>
    <x v="1"/>
  </r>
  <r>
    <n v="1008"/>
    <x v="182"/>
    <x v="4"/>
    <x v="2"/>
    <x v="425"/>
    <x v="37"/>
    <x v="3"/>
    <n v="2907.22"/>
    <x v="425"/>
    <s v="Cash"/>
    <x v="0"/>
  </r>
  <r>
    <n v="1016"/>
    <x v="243"/>
    <x v="3"/>
    <x v="0"/>
    <x v="426"/>
    <x v="36"/>
    <x v="1"/>
    <n v="3386.49"/>
    <x v="426"/>
    <s v="Bank Transfer"/>
    <x v="1"/>
  </r>
  <r>
    <n v="1014"/>
    <x v="163"/>
    <x v="1"/>
    <x v="0"/>
    <x v="427"/>
    <x v="14"/>
    <x v="3"/>
    <n v="132.47"/>
    <x v="427"/>
    <s v="Credit Card"/>
    <x v="0"/>
  </r>
  <r>
    <n v="1076"/>
    <x v="155"/>
    <x v="2"/>
    <x v="2"/>
    <x v="428"/>
    <x v="18"/>
    <x v="1"/>
    <n v="1727.78"/>
    <x v="428"/>
    <s v="Bank Transfer"/>
    <x v="0"/>
  </r>
  <r>
    <n v="1087"/>
    <x v="39"/>
    <x v="2"/>
    <x v="1"/>
    <x v="429"/>
    <x v="15"/>
    <x v="3"/>
    <n v="3988.52"/>
    <x v="429"/>
    <s v="Credit Card"/>
    <x v="0"/>
  </r>
  <r>
    <n v="1015"/>
    <x v="244"/>
    <x v="4"/>
    <x v="3"/>
    <x v="430"/>
    <x v="12"/>
    <x v="2"/>
    <n v="433.54"/>
    <x v="430"/>
    <s v="Bank Transfer"/>
    <x v="1"/>
  </r>
  <r>
    <n v="1092"/>
    <x v="74"/>
    <x v="4"/>
    <x v="3"/>
    <x v="431"/>
    <x v="20"/>
    <x v="0"/>
    <n v="1447.45"/>
    <x v="431"/>
    <s v="Bank Transfer"/>
    <x v="1"/>
  </r>
  <r>
    <n v="1098"/>
    <x v="238"/>
    <x v="3"/>
    <x v="0"/>
    <x v="432"/>
    <x v="47"/>
    <x v="3"/>
    <n v="2947.22"/>
    <x v="432"/>
    <s v="Credit Card"/>
    <x v="1"/>
  </r>
  <r>
    <n v="1066"/>
    <x v="245"/>
    <x v="3"/>
    <x v="3"/>
    <x v="433"/>
    <x v="20"/>
    <x v="1"/>
    <n v="1319.24"/>
    <x v="433"/>
    <s v="Credit Card"/>
    <x v="1"/>
  </r>
  <r>
    <n v="1032"/>
    <x v="104"/>
    <x v="0"/>
    <x v="0"/>
    <x v="434"/>
    <x v="18"/>
    <x v="3"/>
    <n v="4673.1899999999996"/>
    <x v="434"/>
    <s v="Credit Card"/>
    <x v="1"/>
  </r>
  <r>
    <n v="1087"/>
    <x v="117"/>
    <x v="3"/>
    <x v="3"/>
    <x v="435"/>
    <x v="2"/>
    <x v="3"/>
    <n v="698.74"/>
    <x v="435"/>
    <s v="Credit Card"/>
    <x v="0"/>
  </r>
  <r>
    <n v="1063"/>
    <x v="46"/>
    <x v="0"/>
    <x v="2"/>
    <x v="436"/>
    <x v="44"/>
    <x v="3"/>
    <n v="3997.1"/>
    <x v="436"/>
    <s v="Cash"/>
    <x v="0"/>
  </r>
  <r>
    <n v="1086"/>
    <x v="246"/>
    <x v="1"/>
    <x v="0"/>
    <x v="437"/>
    <x v="40"/>
    <x v="1"/>
    <n v="2564.35"/>
    <x v="437"/>
    <s v="Credit Card"/>
    <x v="0"/>
  </r>
  <r>
    <n v="1051"/>
    <x v="247"/>
    <x v="4"/>
    <x v="0"/>
    <x v="438"/>
    <x v="24"/>
    <x v="0"/>
    <n v="3764.14"/>
    <x v="438"/>
    <s v="Bank Transfer"/>
    <x v="1"/>
  </r>
  <r>
    <n v="1025"/>
    <x v="248"/>
    <x v="1"/>
    <x v="2"/>
    <x v="439"/>
    <x v="27"/>
    <x v="2"/>
    <n v="1588.04"/>
    <x v="439"/>
    <s v="Bank Transfer"/>
    <x v="1"/>
  </r>
  <r>
    <n v="1058"/>
    <x v="249"/>
    <x v="3"/>
    <x v="0"/>
    <x v="440"/>
    <x v="10"/>
    <x v="0"/>
    <n v="2596.7199999999998"/>
    <x v="440"/>
    <s v="Cash"/>
    <x v="0"/>
  </r>
  <r>
    <n v="1063"/>
    <x v="75"/>
    <x v="1"/>
    <x v="3"/>
    <x v="441"/>
    <x v="20"/>
    <x v="3"/>
    <n v="4291.33"/>
    <x v="441"/>
    <s v="Credit Card"/>
    <x v="1"/>
  </r>
  <r>
    <n v="1062"/>
    <x v="250"/>
    <x v="1"/>
    <x v="3"/>
    <x v="442"/>
    <x v="44"/>
    <x v="1"/>
    <n v="2361.0500000000002"/>
    <x v="442"/>
    <s v="Bank Transfer"/>
    <x v="1"/>
  </r>
  <r>
    <n v="1022"/>
    <x v="147"/>
    <x v="1"/>
    <x v="0"/>
    <x v="443"/>
    <x v="15"/>
    <x v="0"/>
    <n v="1830.61"/>
    <x v="443"/>
    <s v="Cash"/>
    <x v="0"/>
  </r>
  <r>
    <n v="1058"/>
    <x v="251"/>
    <x v="3"/>
    <x v="3"/>
    <x v="444"/>
    <x v="28"/>
    <x v="3"/>
    <n v="2703.97"/>
    <x v="444"/>
    <s v="Bank Transfer"/>
    <x v="0"/>
  </r>
  <r>
    <n v="1058"/>
    <x v="252"/>
    <x v="1"/>
    <x v="1"/>
    <x v="445"/>
    <x v="31"/>
    <x v="2"/>
    <n v="3600.95"/>
    <x v="445"/>
    <s v="Cash"/>
    <x v="1"/>
  </r>
  <r>
    <n v="1086"/>
    <x v="253"/>
    <x v="0"/>
    <x v="0"/>
    <x v="446"/>
    <x v="7"/>
    <x v="2"/>
    <n v="2245.64"/>
    <x v="446"/>
    <s v="Cash"/>
    <x v="1"/>
  </r>
  <r>
    <n v="1049"/>
    <x v="138"/>
    <x v="3"/>
    <x v="2"/>
    <x v="447"/>
    <x v="2"/>
    <x v="2"/>
    <n v="4697.4399999999996"/>
    <x v="447"/>
    <s v="Credit Card"/>
    <x v="0"/>
  </r>
  <r>
    <n v="1052"/>
    <x v="9"/>
    <x v="1"/>
    <x v="1"/>
    <x v="448"/>
    <x v="36"/>
    <x v="3"/>
    <n v="1509.98"/>
    <x v="448"/>
    <s v="Cash"/>
    <x v="1"/>
  </r>
  <r>
    <n v="1042"/>
    <x v="157"/>
    <x v="3"/>
    <x v="0"/>
    <x v="449"/>
    <x v="44"/>
    <x v="1"/>
    <n v="2403.54"/>
    <x v="449"/>
    <s v="Bank Transfer"/>
    <x v="0"/>
  </r>
  <r>
    <n v="1070"/>
    <x v="165"/>
    <x v="2"/>
    <x v="2"/>
    <x v="450"/>
    <x v="28"/>
    <x v="0"/>
    <n v="3796.79"/>
    <x v="450"/>
    <s v="Bank Transfer"/>
    <x v="0"/>
  </r>
  <r>
    <n v="1015"/>
    <x v="91"/>
    <x v="0"/>
    <x v="3"/>
    <x v="451"/>
    <x v="22"/>
    <x v="2"/>
    <n v="3461.15"/>
    <x v="451"/>
    <s v="Credit Card"/>
    <x v="0"/>
  </r>
  <r>
    <n v="1054"/>
    <x v="87"/>
    <x v="1"/>
    <x v="2"/>
    <x v="452"/>
    <x v="10"/>
    <x v="3"/>
    <n v="4325.0200000000004"/>
    <x v="452"/>
    <s v="Credit Card"/>
    <x v="1"/>
  </r>
  <r>
    <n v="1060"/>
    <x v="142"/>
    <x v="2"/>
    <x v="1"/>
    <x v="453"/>
    <x v="24"/>
    <x v="3"/>
    <n v="4984.21"/>
    <x v="453"/>
    <s v="Cash"/>
    <x v="0"/>
  </r>
  <r>
    <n v="1097"/>
    <x v="254"/>
    <x v="2"/>
    <x v="3"/>
    <x v="454"/>
    <x v="15"/>
    <x v="0"/>
    <n v="2162.9499999999998"/>
    <x v="454"/>
    <s v="Credit Card"/>
    <x v="0"/>
  </r>
  <r>
    <n v="1008"/>
    <x v="55"/>
    <x v="3"/>
    <x v="0"/>
    <x v="455"/>
    <x v="22"/>
    <x v="2"/>
    <n v="600.20000000000005"/>
    <x v="455"/>
    <s v="Bank Transfer"/>
    <x v="1"/>
  </r>
  <r>
    <n v="1053"/>
    <x v="255"/>
    <x v="2"/>
    <x v="3"/>
    <x v="456"/>
    <x v="23"/>
    <x v="3"/>
    <n v="200.56"/>
    <x v="456"/>
    <s v="Bank Transfer"/>
    <x v="0"/>
  </r>
  <r>
    <n v="1060"/>
    <x v="105"/>
    <x v="0"/>
    <x v="0"/>
    <x v="457"/>
    <x v="23"/>
    <x v="0"/>
    <n v="3648.04"/>
    <x v="457"/>
    <s v="Credit Card"/>
    <x v="1"/>
  </r>
  <r>
    <n v="1005"/>
    <x v="256"/>
    <x v="0"/>
    <x v="0"/>
    <x v="458"/>
    <x v="9"/>
    <x v="1"/>
    <n v="4376.37"/>
    <x v="458"/>
    <s v="Credit Card"/>
    <x v="1"/>
  </r>
  <r>
    <n v="1068"/>
    <x v="257"/>
    <x v="4"/>
    <x v="2"/>
    <x v="459"/>
    <x v="9"/>
    <x v="1"/>
    <n v="1142.53"/>
    <x v="459"/>
    <s v="Credit Card"/>
    <x v="1"/>
  </r>
  <r>
    <n v="1006"/>
    <x v="250"/>
    <x v="0"/>
    <x v="2"/>
    <x v="460"/>
    <x v="33"/>
    <x v="1"/>
    <n v="834.32"/>
    <x v="460"/>
    <s v="Cash"/>
    <x v="0"/>
  </r>
  <r>
    <n v="1096"/>
    <x v="238"/>
    <x v="2"/>
    <x v="2"/>
    <x v="461"/>
    <x v="27"/>
    <x v="2"/>
    <n v="357.92"/>
    <x v="461"/>
    <s v="Cash"/>
    <x v="0"/>
  </r>
  <r>
    <n v="1094"/>
    <x v="164"/>
    <x v="0"/>
    <x v="1"/>
    <x v="462"/>
    <x v="48"/>
    <x v="0"/>
    <n v="4122.38"/>
    <x v="462"/>
    <s v="Bank Transfer"/>
    <x v="1"/>
  </r>
  <r>
    <n v="1047"/>
    <x v="1"/>
    <x v="3"/>
    <x v="1"/>
    <x v="463"/>
    <x v="1"/>
    <x v="0"/>
    <n v="1591.34"/>
    <x v="463"/>
    <s v="Cash"/>
    <x v="1"/>
  </r>
  <r>
    <n v="1099"/>
    <x v="26"/>
    <x v="4"/>
    <x v="2"/>
    <x v="464"/>
    <x v="39"/>
    <x v="3"/>
    <n v="2038.4"/>
    <x v="464"/>
    <s v="Cash"/>
    <x v="1"/>
  </r>
  <r>
    <n v="1055"/>
    <x v="234"/>
    <x v="2"/>
    <x v="1"/>
    <x v="465"/>
    <x v="26"/>
    <x v="3"/>
    <n v="2538.61"/>
    <x v="465"/>
    <s v="Cash"/>
    <x v="0"/>
  </r>
  <r>
    <n v="1040"/>
    <x v="83"/>
    <x v="4"/>
    <x v="3"/>
    <x v="466"/>
    <x v="31"/>
    <x v="3"/>
    <n v="4205.29"/>
    <x v="466"/>
    <s v="Cash"/>
    <x v="1"/>
  </r>
  <r>
    <n v="1052"/>
    <x v="258"/>
    <x v="2"/>
    <x v="3"/>
    <x v="467"/>
    <x v="0"/>
    <x v="0"/>
    <n v="3271.62"/>
    <x v="467"/>
    <s v="Bank Transfer"/>
    <x v="1"/>
  </r>
  <r>
    <n v="1016"/>
    <x v="15"/>
    <x v="3"/>
    <x v="1"/>
    <x v="468"/>
    <x v="23"/>
    <x v="3"/>
    <n v="3094.57"/>
    <x v="468"/>
    <s v="Credit Card"/>
    <x v="1"/>
  </r>
  <r>
    <n v="1013"/>
    <x v="259"/>
    <x v="4"/>
    <x v="1"/>
    <x v="469"/>
    <x v="25"/>
    <x v="0"/>
    <n v="919.58"/>
    <x v="469"/>
    <s v="Bank Transfer"/>
    <x v="0"/>
  </r>
  <r>
    <n v="1030"/>
    <x v="33"/>
    <x v="1"/>
    <x v="3"/>
    <x v="470"/>
    <x v="37"/>
    <x v="0"/>
    <n v="2590.29"/>
    <x v="470"/>
    <s v="Cash"/>
    <x v="1"/>
  </r>
  <r>
    <n v="1019"/>
    <x v="208"/>
    <x v="2"/>
    <x v="0"/>
    <x v="471"/>
    <x v="0"/>
    <x v="1"/>
    <n v="3591.14"/>
    <x v="471"/>
    <s v="Credit Card"/>
    <x v="0"/>
  </r>
  <r>
    <n v="1017"/>
    <x v="141"/>
    <x v="1"/>
    <x v="3"/>
    <x v="472"/>
    <x v="22"/>
    <x v="3"/>
    <n v="4867.6400000000003"/>
    <x v="472"/>
    <s v="Credit Card"/>
    <x v="0"/>
  </r>
  <r>
    <n v="1063"/>
    <x v="257"/>
    <x v="4"/>
    <x v="3"/>
    <x v="473"/>
    <x v="42"/>
    <x v="1"/>
    <n v="1046.96"/>
    <x v="473"/>
    <s v="Credit Card"/>
    <x v="1"/>
  </r>
  <r>
    <n v="1019"/>
    <x v="169"/>
    <x v="1"/>
    <x v="1"/>
    <x v="474"/>
    <x v="25"/>
    <x v="2"/>
    <n v="97.24"/>
    <x v="474"/>
    <s v="Bank Transfer"/>
    <x v="1"/>
  </r>
  <r>
    <n v="1092"/>
    <x v="181"/>
    <x v="1"/>
    <x v="3"/>
    <x v="475"/>
    <x v="32"/>
    <x v="2"/>
    <n v="422.74"/>
    <x v="475"/>
    <s v="Credit Card"/>
    <x v="1"/>
  </r>
  <r>
    <n v="1058"/>
    <x v="13"/>
    <x v="4"/>
    <x v="1"/>
    <x v="476"/>
    <x v="16"/>
    <x v="2"/>
    <n v="1910.47"/>
    <x v="476"/>
    <s v="Bank Transfer"/>
    <x v="0"/>
  </r>
  <r>
    <n v="1055"/>
    <x v="233"/>
    <x v="3"/>
    <x v="1"/>
    <x v="477"/>
    <x v="8"/>
    <x v="0"/>
    <n v="4111.7"/>
    <x v="477"/>
    <s v="Bank Transfer"/>
    <x v="0"/>
  </r>
  <r>
    <n v="1090"/>
    <x v="168"/>
    <x v="1"/>
    <x v="2"/>
    <x v="478"/>
    <x v="20"/>
    <x v="0"/>
    <n v="85.35"/>
    <x v="478"/>
    <s v="Cash"/>
    <x v="0"/>
  </r>
  <r>
    <n v="1090"/>
    <x v="260"/>
    <x v="1"/>
    <x v="3"/>
    <x v="479"/>
    <x v="20"/>
    <x v="0"/>
    <n v="2310.8200000000002"/>
    <x v="479"/>
    <s v="Cash"/>
    <x v="1"/>
  </r>
  <r>
    <n v="1062"/>
    <x v="233"/>
    <x v="3"/>
    <x v="0"/>
    <x v="480"/>
    <x v="10"/>
    <x v="3"/>
    <n v="1679.69"/>
    <x v="480"/>
    <s v="Credit Card"/>
    <x v="0"/>
  </r>
  <r>
    <n v="1023"/>
    <x v="87"/>
    <x v="1"/>
    <x v="2"/>
    <x v="481"/>
    <x v="31"/>
    <x v="1"/>
    <n v="309.77999999999997"/>
    <x v="481"/>
    <s v="Credit Card"/>
    <x v="1"/>
  </r>
  <r>
    <n v="1009"/>
    <x v="172"/>
    <x v="1"/>
    <x v="1"/>
    <x v="482"/>
    <x v="26"/>
    <x v="0"/>
    <n v="2278.67"/>
    <x v="482"/>
    <s v="Cash"/>
    <x v="1"/>
  </r>
  <r>
    <n v="1012"/>
    <x v="261"/>
    <x v="1"/>
    <x v="1"/>
    <x v="483"/>
    <x v="4"/>
    <x v="1"/>
    <n v="1311.01"/>
    <x v="483"/>
    <s v="Bank Transfer"/>
    <x v="1"/>
  </r>
  <r>
    <n v="1001"/>
    <x v="262"/>
    <x v="0"/>
    <x v="0"/>
    <x v="484"/>
    <x v="41"/>
    <x v="1"/>
    <n v="1791.83"/>
    <x v="484"/>
    <s v="Bank Transfer"/>
    <x v="0"/>
  </r>
  <r>
    <n v="1058"/>
    <x v="263"/>
    <x v="3"/>
    <x v="1"/>
    <x v="485"/>
    <x v="3"/>
    <x v="1"/>
    <n v="3542.8"/>
    <x v="485"/>
    <s v="Cash"/>
    <x v="0"/>
  </r>
  <r>
    <n v="1001"/>
    <x v="106"/>
    <x v="1"/>
    <x v="3"/>
    <x v="486"/>
    <x v="39"/>
    <x v="3"/>
    <n v="2631.68"/>
    <x v="486"/>
    <s v="Bank Transfer"/>
    <x v="0"/>
  </r>
  <r>
    <n v="1034"/>
    <x v="5"/>
    <x v="3"/>
    <x v="2"/>
    <x v="487"/>
    <x v="42"/>
    <x v="3"/>
    <n v="667"/>
    <x v="487"/>
    <s v="Cash"/>
    <x v="1"/>
  </r>
  <r>
    <n v="1096"/>
    <x v="170"/>
    <x v="2"/>
    <x v="1"/>
    <x v="488"/>
    <x v="30"/>
    <x v="2"/>
    <n v="4809"/>
    <x v="488"/>
    <s v="Cash"/>
    <x v="0"/>
  </r>
  <r>
    <n v="1048"/>
    <x v="118"/>
    <x v="2"/>
    <x v="1"/>
    <x v="489"/>
    <x v="30"/>
    <x v="2"/>
    <n v="3197.76"/>
    <x v="489"/>
    <s v="Credit Card"/>
    <x v="0"/>
  </r>
  <r>
    <n v="1089"/>
    <x v="96"/>
    <x v="1"/>
    <x v="0"/>
    <x v="490"/>
    <x v="13"/>
    <x v="1"/>
    <n v="3841.05"/>
    <x v="490"/>
    <s v="Credit Card"/>
    <x v="1"/>
  </r>
  <r>
    <n v="1001"/>
    <x v="198"/>
    <x v="3"/>
    <x v="3"/>
    <x v="491"/>
    <x v="29"/>
    <x v="2"/>
    <n v="442.11"/>
    <x v="491"/>
    <s v="Cash"/>
    <x v="1"/>
  </r>
  <r>
    <n v="1016"/>
    <x v="14"/>
    <x v="3"/>
    <x v="1"/>
    <x v="492"/>
    <x v="48"/>
    <x v="1"/>
    <n v="282.94"/>
    <x v="492"/>
    <s v="Credit Card"/>
    <x v="0"/>
  </r>
  <r>
    <n v="1061"/>
    <x v="264"/>
    <x v="3"/>
    <x v="0"/>
    <x v="493"/>
    <x v="20"/>
    <x v="3"/>
    <n v="146.27000000000001"/>
    <x v="493"/>
    <s v="Cash"/>
    <x v="1"/>
  </r>
  <r>
    <n v="1064"/>
    <x v="72"/>
    <x v="0"/>
    <x v="1"/>
    <x v="494"/>
    <x v="7"/>
    <x v="3"/>
    <n v="984.53"/>
    <x v="494"/>
    <s v="Bank Transfer"/>
    <x v="0"/>
  </r>
  <r>
    <n v="1063"/>
    <x v="265"/>
    <x v="2"/>
    <x v="0"/>
    <x v="495"/>
    <x v="11"/>
    <x v="3"/>
    <n v="2101.3200000000002"/>
    <x v="495"/>
    <s v="Bank Transfer"/>
    <x v="1"/>
  </r>
  <r>
    <n v="1069"/>
    <x v="266"/>
    <x v="3"/>
    <x v="0"/>
    <x v="496"/>
    <x v="26"/>
    <x v="0"/>
    <n v="4682.34"/>
    <x v="496"/>
    <s v="Bank Transfer"/>
    <x v="1"/>
  </r>
  <r>
    <n v="1022"/>
    <x v="267"/>
    <x v="3"/>
    <x v="3"/>
    <x v="497"/>
    <x v="4"/>
    <x v="1"/>
    <n v="2312.4499999999998"/>
    <x v="497"/>
    <s v="Bank Transfer"/>
    <x v="0"/>
  </r>
  <r>
    <n v="1093"/>
    <x v="51"/>
    <x v="0"/>
    <x v="1"/>
    <x v="498"/>
    <x v="8"/>
    <x v="3"/>
    <n v="1486.76"/>
    <x v="498"/>
    <s v="Cash"/>
    <x v="1"/>
  </r>
  <r>
    <n v="1067"/>
    <x v="6"/>
    <x v="0"/>
    <x v="3"/>
    <x v="499"/>
    <x v="1"/>
    <x v="1"/>
    <n v="2831.58"/>
    <x v="499"/>
    <s v="Bank Transfer"/>
    <x v="1"/>
  </r>
  <r>
    <n v="1076"/>
    <x v="268"/>
    <x v="3"/>
    <x v="0"/>
    <x v="500"/>
    <x v="1"/>
    <x v="2"/>
    <n v="604.08000000000004"/>
    <x v="500"/>
    <s v="Bank Transfer"/>
    <x v="1"/>
  </r>
  <r>
    <n v="1026"/>
    <x v="82"/>
    <x v="4"/>
    <x v="2"/>
    <x v="501"/>
    <x v="43"/>
    <x v="2"/>
    <n v="3067.05"/>
    <x v="501"/>
    <s v="Bank Transfer"/>
    <x v="0"/>
  </r>
  <r>
    <n v="1016"/>
    <x v="172"/>
    <x v="3"/>
    <x v="1"/>
    <x v="502"/>
    <x v="9"/>
    <x v="3"/>
    <n v="2863.74"/>
    <x v="502"/>
    <s v="Bank Transfer"/>
    <x v="1"/>
  </r>
  <r>
    <n v="1051"/>
    <x v="128"/>
    <x v="3"/>
    <x v="2"/>
    <x v="503"/>
    <x v="29"/>
    <x v="1"/>
    <n v="3970.37"/>
    <x v="503"/>
    <s v="Cash"/>
    <x v="1"/>
  </r>
  <r>
    <n v="1086"/>
    <x v="269"/>
    <x v="0"/>
    <x v="1"/>
    <x v="504"/>
    <x v="47"/>
    <x v="3"/>
    <n v="4934.1000000000004"/>
    <x v="504"/>
    <s v="Bank Transfer"/>
    <x v="0"/>
  </r>
  <r>
    <n v="1057"/>
    <x v="27"/>
    <x v="0"/>
    <x v="3"/>
    <x v="505"/>
    <x v="42"/>
    <x v="2"/>
    <n v="1291.82"/>
    <x v="505"/>
    <s v="Credit Card"/>
    <x v="0"/>
  </r>
  <r>
    <n v="1029"/>
    <x v="131"/>
    <x v="3"/>
    <x v="3"/>
    <x v="506"/>
    <x v="25"/>
    <x v="3"/>
    <n v="2572.8000000000002"/>
    <x v="506"/>
    <s v="Credit Card"/>
    <x v="1"/>
  </r>
  <r>
    <n v="1078"/>
    <x v="267"/>
    <x v="3"/>
    <x v="3"/>
    <x v="507"/>
    <x v="43"/>
    <x v="1"/>
    <n v="4548.88"/>
    <x v="507"/>
    <s v="Credit Card"/>
    <x v="1"/>
  </r>
  <r>
    <n v="1092"/>
    <x v="24"/>
    <x v="3"/>
    <x v="3"/>
    <x v="508"/>
    <x v="40"/>
    <x v="2"/>
    <n v="3936.69"/>
    <x v="508"/>
    <s v="Credit Card"/>
    <x v="1"/>
  </r>
  <r>
    <n v="1069"/>
    <x v="270"/>
    <x v="0"/>
    <x v="3"/>
    <x v="509"/>
    <x v="6"/>
    <x v="0"/>
    <n v="2462.66"/>
    <x v="509"/>
    <s v="Credit Card"/>
    <x v="0"/>
  </r>
  <r>
    <n v="1047"/>
    <x v="133"/>
    <x v="3"/>
    <x v="2"/>
    <x v="510"/>
    <x v="20"/>
    <x v="2"/>
    <n v="4729.59"/>
    <x v="510"/>
    <s v="Credit Card"/>
    <x v="1"/>
  </r>
  <r>
    <n v="1094"/>
    <x v="100"/>
    <x v="3"/>
    <x v="3"/>
    <x v="511"/>
    <x v="26"/>
    <x v="0"/>
    <n v="333.32"/>
    <x v="511"/>
    <s v="Cash"/>
    <x v="0"/>
  </r>
  <r>
    <n v="1062"/>
    <x v="2"/>
    <x v="1"/>
    <x v="0"/>
    <x v="512"/>
    <x v="35"/>
    <x v="3"/>
    <n v="4658.4399999999996"/>
    <x v="512"/>
    <s v="Credit Card"/>
    <x v="0"/>
  </r>
  <r>
    <n v="1069"/>
    <x v="165"/>
    <x v="4"/>
    <x v="0"/>
    <x v="513"/>
    <x v="2"/>
    <x v="3"/>
    <n v="300.01"/>
    <x v="513"/>
    <s v="Bank Transfer"/>
    <x v="1"/>
  </r>
  <r>
    <n v="1076"/>
    <x v="228"/>
    <x v="2"/>
    <x v="2"/>
    <x v="514"/>
    <x v="18"/>
    <x v="1"/>
    <n v="2759.16"/>
    <x v="514"/>
    <s v="Credit Card"/>
    <x v="1"/>
  </r>
  <r>
    <n v="1016"/>
    <x v="186"/>
    <x v="4"/>
    <x v="1"/>
    <x v="515"/>
    <x v="25"/>
    <x v="0"/>
    <n v="4457.68"/>
    <x v="515"/>
    <s v="Cash"/>
    <x v="0"/>
  </r>
  <r>
    <n v="1090"/>
    <x v="18"/>
    <x v="1"/>
    <x v="0"/>
    <x v="516"/>
    <x v="28"/>
    <x v="3"/>
    <n v="1350.47"/>
    <x v="516"/>
    <s v="Credit Card"/>
    <x v="1"/>
  </r>
  <r>
    <n v="1090"/>
    <x v="144"/>
    <x v="2"/>
    <x v="1"/>
    <x v="517"/>
    <x v="15"/>
    <x v="0"/>
    <n v="2387.63"/>
    <x v="517"/>
    <s v="Bank Transfer"/>
    <x v="1"/>
  </r>
  <r>
    <n v="1048"/>
    <x v="170"/>
    <x v="3"/>
    <x v="2"/>
    <x v="518"/>
    <x v="48"/>
    <x v="3"/>
    <n v="1655.43"/>
    <x v="518"/>
    <s v="Bank Transfer"/>
    <x v="0"/>
  </r>
  <r>
    <n v="1085"/>
    <x v="103"/>
    <x v="1"/>
    <x v="1"/>
    <x v="519"/>
    <x v="27"/>
    <x v="2"/>
    <n v="4763.1099999999997"/>
    <x v="519"/>
    <s v="Cash"/>
    <x v="1"/>
  </r>
  <r>
    <n v="1039"/>
    <x v="245"/>
    <x v="3"/>
    <x v="1"/>
    <x v="520"/>
    <x v="35"/>
    <x v="3"/>
    <n v="4127.05"/>
    <x v="520"/>
    <s v="Cash"/>
    <x v="0"/>
  </r>
  <r>
    <n v="1100"/>
    <x v="114"/>
    <x v="0"/>
    <x v="1"/>
    <x v="521"/>
    <x v="6"/>
    <x v="1"/>
    <n v="3559.56"/>
    <x v="521"/>
    <s v="Cash"/>
    <x v="1"/>
  </r>
  <r>
    <n v="1033"/>
    <x v="229"/>
    <x v="1"/>
    <x v="1"/>
    <x v="522"/>
    <x v="45"/>
    <x v="2"/>
    <n v="2958.75"/>
    <x v="522"/>
    <s v="Cash"/>
    <x v="0"/>
  </r>
  <r>
    <n v="1094"/>
    <x v="13"/>
    <x v="0"/>
    <x v="2"/>
    <x v="523"/>
    <x v="13"/>
    <x v="1"/>
    <n v="4111.93"/>
    <x v="523"/>
    <s v="Credit Card"/>
    <x v="0"/>
  </r>
  <r>
    <n v="1023"/>
    <x v="45"/>
    <x v="1"/>
    <x v="0"/>
    <x v="524"/>
    <x v="43"/>
    <x v="2"/>
    <n v="1991.72"/>
    <x v="524"/>
    <s v="Credit Card"/>
    <x v="1"/>
  </r>
  <r>
    <n v="1010"/>
    <x v="57"/>
    <x v="1"/>
    <x v="3"/>
    <x v="525"/>
    <x v="20"/>
    <x v="0"/>
    <n v="2265.38"/>
    <x v="525"/>
    <s v="Bank Transfer"/>
    <x v="0"/>
  </r>
  <r>
    <n v="1069"/>
    <x v="108"/>
    <x v="0"/>
    <x v="1"/>
    <x v="526"/>
    <x v="7"/>
    <x v="1"/>
    <n v="3663.51"/>
    <x v="526"/>
    <s v="Cash"/>
    <x v="0"/>
  </r>
  <r>
    <n v="1100"/>
    <x v="199"/>
    <x v="2"/>
    <x v="0"/>
    <x v="527"/>
    <x v="12"/>
    <x v="3"/>
    <n v="1820.89"/>
    <x v="527"/>
    <s v="Cash"/>
    <x v="1"/>
  </r>
  <r>
    <n v="1034"/>
    <x v="271"/>
    <x v="4"/>
    <x v="0"/>
    <x v="528"/>
    <x v="4"/>
    <x v="0"/>
    <n v="366.31"/>
    <x v="528"/>
    <s v="Credit Card"/>
    <x v="1"/>
  </r>
  <r>
    <n v="1052"/>
    <x v="272"/>
    <x v="3"/>
    <x v="2"/>
    <x v="529"/>
    <x v="31"/>
    <x v="3"/>
    <n v="417.96"/>
    <x v="529"/>
    <s v="Cash"/>
    <x v="1"/>
  </r>
  <r>
    <n v="1095"/>
    <x v="9"/>
    <x v="1"/>
    <x v="0"/>
    <x v="530"/>
    <x v="9"/>
    <x v="2"/>
    <n v="621.04999999999995"/>
    <x v="530"/>
    <s v="Bank Transfer"/>
    <x v="0"/>
  </r>
  <r>
    <n v="1010"/>
    <x v="126"/>
    <x v="3"/>
    <x v="2"/>
    <x v="531"/>
    <x v="35"/>
    <x v="2"/>
    <n v="4354.92"/>
    <x v="531"/>
    <s v="Bank Transfer"/>
    <x v="0"/>
  </r>
  <r>
    <n v="1019"/>
    <x v="259"/>
    <x v="0"/>
    <x v="1"/>
    <x v="532"/>
    <x v="30"/>
    <x v="3"/>
    <n v="2387.52"/>
    <x v="532"/>
    <s v="Cash"/>
    <x v="0"/>
  </r>
  <r>
    <n v="1058"/>
    <x v="93"/>
    <x v="3"/>
    <x v="1"/>
    <x v="533"/>
    <x v="6"/>
    <x v="3"/>
    <n v="3578.77"/>
    <x v="533"/>
    <s v="Bank Transfer"/>
    <x v="1"/>
  </r>
  <r>
    <n v="1096"/>
    <x v="38"/>
    <x v="0"/>
    <x v="3"/>
    <x v="534"/>
    <x v="46"/>
    <x v="0"/>
    <n v="1994.9"/>
    <x v="534"/>
    <s v="Bank Transfer"/>
    <x v="0"/>
  </r>
  <r>
    <n v="1001"/>
    <x v="167"/>
    <x v="3"/>
    <x v="3"/>
    <x v="535"/>
    <x v="44"/>
    <x v="3"/>
    <n v="1330.62"/>
    <x v="535"/>
    <s v="Credit Card"/>
    <x v="0"/>
  </r>
  <r>
    <n v="1069"/>
    <x v="212"/>
    <x v="4"/>
    <x v="3"/>
    <x v="536"/>
    <x v="32"/>
    <x v="1"/>
    <n v="1768.6"/>
    <x v="536"/>
    <s v="Bank Transfer"/>
    <x v="1"/>
  </r>
  <r>
    <n v="1004"/>
    <x v="28"/>
    <x v="4"/>
    <x v="0"/>
    <x v="537"/>
    <x v="43"/>
    <x v="1"/>
    <n v="3981.2"/>
    <x v="537"/>
    <s v="Cash"/>
    <x v="0"/>
  </r>
  <r>
    <n v="1016"/>
    <x v="273"/>
    <x v="4"/>
    <x v="1"/>
    <x v="538"/>
    <x v="39"/>
    <x v="3"/>
    <n v="3144.82"/>
    <x v="538"/>
    <s v="Cash"/>
    <x v="1"/>
  </r>
  <r>
    <n v="1024"/>
    <x v="90"/>
    <x v="4"/>
    <x v="2"/>
    <x v="539"/>
    <x v="33"/>
    <x v="1"/>
    <n v="4691.32"/>
    <x v="539"/>
    <s v="Bank Transfer"/>
    <x v="1"/>
  </r>
  <r>
    <n v="1080"/>
    <x v="12"/>
    <x v="4"/>
    <x v="3"/>
    <x v="540"/>
    <x v="5"/>
    <x v="3"/>
    <n v="3414.54"/>
    <x v="540"/>
    <s v="Cash"/>
    <x v="1"/>
  </r>
  <r>
    <n v="1002"/>
    <x v="186"/>
    <x v="4"/>
    <x v="2"/>
    <x v="541"/>
    <x v="25"/>
    <x v="0"/>
    <n v="2872.4"/>
    <x v="541"/>
    <s v="Credit Card"/>
    <x v="0"/>
  </r>
  <r>
    <n v="1092"/>
    <x v="218"/>
    <x v="0"/>
    <x v="2"/>
    <x v="542"/>
    <x v="0"/>
    <x v="1"/>
    <n v="3070.47"/>
    <x v="542"/>
    <s v="Bank Transfer"/>
    <x v="0"/>
  </r>
  <r>
    <n v="1032"/>
    <x v="34"/>
    <x v="1"/>
    <x v="3"/>
    <x v="543"/>
    <x v="47"/>
    <x v="1"/>
    <n v="4714.74"/>
    <x v="543"/>
    <s v="Bank Transfer"/>
    <x v="0"/>
  </r>
  <r>
    <n v="1091"/>
    <x v="274"/>
    <x v="3"/>
    <x v="1"/>
    <x v="544"/>
    <x v="43"/>
    <x v="3"/>
    <n v="3951.59"/>
    <x v="544"/>
    <s v="Bank Transfer"/>
    <x v="1"/>
  </r>
  <r>
    <n v="1084"/>
    <x v="80"/>
    <x v="4"/>
    <x v="3"/>
    <x v="545"/>
    <x v="2"/>
    <x v="1"/>
    <n v="169"/>
    <x v="545"/>
    <s v="Cash"/>
    <x v="1"/>
  </r>
  <r>
    <n v="1024"/>
    <x v="107"/>
    <x v="0"/>
    <x v="2"/>
    <x v="546"/>
    <x v="27"/>
    <x v="2"/>
    <n v="2693.99"/>
    <x v="546"/>
    <s v="Cash"/>
    <x v="1"/>
  </r>
  <r>
    <n v="1012"/>
    <x v="130"/>
    <x v="0"/>
    <x v="3"/>
    <x v="547"/>
    <x v="12"/>
    <x v="0"/>
    <n v="3457.28"/>
    <x v="547"/>
    <s v="Bank Transfer"/>
    <x v="0"/>
  </r>
  <r>
    <n v="1050"/>
    <x v="26"/>
    <x v="0"/>
    <x v="2"/>
    <x v="548"/>
    <x v="18"/>
    <x v="0"/>
    <n v="3756.06"/>
    <x v="548"/>
    <s v="Cash"/>
    <x v="0"/>
  </r>
  <r>
    <n v="1035"/>
    <x v="264"/>
    <x v="1"/>
    <x v="2"/>
    <x v="549"/>
    <x v="24"/>
    <x v="1"/>
    <n v="1105.05"/>
    <x v="549"/>
    <s v="Cash"/>
    <x v="0"/>
  </r>
  <r>
    <n v="1033"/>
    <x v="217"/>
    <x v="3"/>
    <x v="3"/>
    <x v="550"/>
    <x v="4"/>
    <x v="1"/>
    <n v="4342.53"/>
    <x v="550"/>
    <s v="Bank Transfer"/>
    <x v="0"/>
  </r>
  <r>
    <n v="1033"/>
    <x v="275"/>
    <x v="1"/>
    <x v="0"/>
    <x v="551"/>
    <x v="8"/>
    <x v="2"/>
    <n v="4781.42"/>
    <x v="551"/>
    <s v="Bank Transfer"/>
    <x v="0"/>
  </r>
  <r>
    <n v="1061"/>
    <x v="238"/>
    <x v="2"/>
    <x v="3"/>
    <x v="552"/>
    <x v="6"/>
    <x v="2"/>
    <n v="1221.74"/>
    <x v="552"/>
    <s v="Cash"/>
    <x v="1"/>
  </r>
  <r>
    <n v="1051"/>
    <x v="198"/>
    <x v="0"/>
    <x v="0"/>
    <x v="553"/>
    <x v="43"/>
    <x v="1"/>
    <n v="4418.95"/>
    <x v="553"/>
    <s v="Bank Transfer"/>
    <x v="0"/>
  </r>
  <r>
    <n v="1043"/>
    <x v="62"/>
    <x v="2"/>
    <x v="2"/>
    <x v="554"/>
    <x v="33"/>
    <x v="1"/>
    <n v="530.04"/>
    <x v="554"/>
    <s v="Bank Transfer"/>
    <x v="1"/>
  </r>
  <r>
    <n v="1012"/>
    <x v="151"/>
    <x v="4"/>
    <x v="2"/>
    <x v="555"/>
    <x v="20"/>
    <x v="2"/>
    <n v="325.75"/>
    <x v="555"/>
    <s v="Bank Transfer"/>
    <x v="1"/>
  </r>
  <r>
    <n v="1067"/>
    <x v="276"/>
    <x v="4"/>
    <x v="0"/>
    <x v="556"/>
    <x v="43"/>
    <x v="3"/>
    <n v="689.66"/>
    <x v="556"/>
    <s v="Bank Transfer"/>
    <x v="0"/>
  </r>
  <r>
    <n v="1065"/>
    <x v="174"/>
    <x v="1"/>
    <x v="2"/>
    <x v="557"/>
    <x v="14"/>
    <x v="2"/>
    <n v="335.82"/>
    <x v="557"/>
    <s v="Cash"/>
    <x v="1"/>
  </r>
  <r>
    <n v="1033"/>
    <x v="118"/>
    <x v="3"/>
    <x v="0"/>
    <x v="558"/>
    <x v="3"/>
    <x v="3"/>
    <n v="4232.8100000000004"/>
    <x v="558"/>
    <s v="Bank Transfer"/>
    <x v="0"/>
  </r>
  <r>
    <n v="1040"/>
    <x v="120"/>
    <x v="2"/>
    <x v="0"/>
    <x v="559"/>
    <x v="12"/>
    <x v="0"/>
    <n v="342.3"/>
    <x v="559"/>
    <s v="Credit Card"/>
    <x v="0"/>
  </r>
  <r>
    <n v="1074"/>
    <x v="21"/>
    <x v="3"/>
    <x v="2"/>
    <x v="560"/>
    <x v="34"/>
    <x v="0"/>
    <n v="1394.74"/>
    <x v="560"/>
    <s v="Bank Transfer"/>
    <x v="1"/>
  </r>
  <r>
    <n v="1043"/>
    <x v="89"/>
    <x v="1"/>
    <x v="1"/>
    <x v="561"/>
    <x v="32"/>
    <x v="2"/>
    <n v="563.59"/>
    <x v="561"/>
    <s v="Credit Card"/>
    <x v="0"/>
  </r>
  <r>
    <n v="1044"/>
    <x v="150"/>
    <x v="4"/>
    <x v="0"/>
    <x v="562"/>
    <x v="20"/>
    <x v="3"/>
    <n v="1512.34"/>
    <x v="562"/>
    <s v="Bank Transfer"/>
    <x v="0"/>
  </r>
  <r>
    <n v="1029"/>
    <x v="67"/>
    <x v="3"/>
    <x v="3"/>
    <x v="563"/>
    <x v="13"/>
    <x v="2"/>
    <n v="498.27"/>
    <x v="563"/>
    <s v="Credit Card"/>
    <x v="1"/>
  </r>
  <r>
    <n v="1013"/>
    <x v="271"/>
    <x v="3"/>
    <x v="3"/>
    <x v="564"/>
    <x v="46"/>
    <x v="2"/>
    <n v="3356.62"/>
    <x v="564"/>
    <s v="Credit Card"/>
    <x v="1"/>
  </r>
  <r>
    <n v="1012"/>
    <x v="264"/>
    <x v="4"/>
    <x v="2"/>
    <x v="565"/>
    <x v="14"/>
    <x v="3"/>
    <n v="709.97"/>
    <x v="565"/>
    <s v="Bank Transfer"/>
    <x v="1"/>
  </r>
  <r>
    <n v="1095"/>
    <x v="27"/>
    <x v="2"/>
    <x v="1"/>
    <x v="566"/>
    <x v="5"/>
    <x v="2"/>
    <n v="4266.6400000000003"/>
    <x v="566"/>
    <s v="Bank Transfer"/>
    <x v="1"/>
  </r>
  <r>
    <n v="1046"/>
    <x v="257"/>
    <x v="4"/>
    <x v="2"/>
    <x v="567"/>
    <x v="41"/>
    <x v="0"/>
    <n v="4095.1"/>
    <x v="567"/>
    <s v="Bank Transfer"/>
    <x v="1"/>
  </r>
  <r>
    <n v="1002"/>
    <x v="277"/>
    <x v="3"/>
    <x v="1"/>
    <x v="568"/>
    <x v="0"/>
    <x v="1"/>
    <n v="117.63"/>
    <x v="568"/>
    <s v="Credit Card"/>
    <x v="1"/>
  </r>
  <r>
    <n v="1035"/>
    <x v="0"/>
    <x v="2"/>
    <x v="0"/>
    <x v="569"/>
    <x v="47"/>
    <x v="1"/>
    <n v="4483.8500000000004"/>
    <x v="569"/>
    <s v="Cash"/>
    <x v="0"/>
  </r>
  <r>
    <n v="1087"/>
    <x v="175"/>
    <x v="2"/>
    <x v="0"/>
    <x v="570"/>
    <x v="46"/>
    <x v="2"/>
    <n v="193.27"/>
    <x v="570"/>
    <s v="Cash"/>
    <x v="0"/>
  </r>
  <r>
    <n v="1081"/>
    <x v="29"/>
    <x v="4"/>
    <x v="0"/>
    <x v="571"/>
    <x v="18"/>
    <x v="3"/>
    <n v="1236.25"/>
    <x v="571"/>
    <s v="Bank Transfer"/>
    <x v="0"/>
  </r>
  <r>
    <n v="1090"/>
    <x v="278"/>
    <x v="3"/>
    <x v="0"/>
    <x v="572"/>
    <x v="23"/>
    <x v="3"/>
    <n v="210.33"/>
    <x v="572"/>
    <s v="Cash"/>
    <x v="1"/>
  </r>
  <r>
    <n v="1008"/>
    <x v="149"/>
    <x v="1"/>
    <x v="3"/>
    <x v="573"/>
    <x v="35"/>
    <x v="0"/>
    <n v="1712.43"/>
    <x v="573"/>
    <s v="Cash"/>
    <x v="0"/>
  </r>
  <r>
    <n v="1093"/>
    <x v="279"/>
    <x v="3"/>
    <x v="3"/>
    <x v="574"/>
    <x v="33"/>
    <x v="3"/>
    <n v="2593.64"/>
    <x v="574"/>
    <s v="Bank Transfer"/>
    <x v="1"/>
  </r>
  <r>
    <n v="1026"/>
    <x v="209"/>
    <x v="0"/>
    <x v="2"/>
    <x v="575"/>
    <x v="41"/>
    <x v="3"/>
    <n v="3993.39"/>
    <x v="575"/>
    <s v="Credit Card"/>
    <x v="0"/>
  </r>
  <r>
    <n v="1074"/>
    <x v="257"/>
    <x v="1"/>
    <x v="1"/>
    <x v="576"/>
    <x v="6"/>
    <x v="0"/>
    <n v="1723.01"/>
    <x v="576"/>
    <s v="Bank Transfer"/>
    <x v="1"/>
  </r>
  <r>
    <n v="1090"/>
    <x v="118"/>
    <x v="2"/>
    <x v="0"/>
    <x v="577"/>
    <x v="16"/>
    <x v="2"/>
    <n v="3542.18"/>
    <x v="577"/>
    <s v="Cash"/>
    <x v="0"/>
  </r>
  <r>
    <n v="1034"/>
    <x v="146"/>
    <x v="1"/>
    <x v="0"/>
    <x v="578"/>
    <x v="24"/>
    <x v="1"/>
    <n v="978.15"/>
    <x v="578"/>
    <s v="Credit Card"/>
    <x v="1"/>
  </r>
  <r>
    <n v="1007"/>
    <x v="157"/>
    <x v="2"/>
    <x v="1"/>
    <x v="579"/>
    <x v="4"/>
    <x v="0"/>
    <n v="3765.46"/>
    <x v="579"/>
    <s v="Cash"/>
    <x v="1"/>
  </r>
  <r>
    <n v="1068"/>
    <x v="24"/>
    <x v="2"/>
    <x v="1"/>
    <x v="580"/>
    <x v="31"/>
    <x v="2"/>
    <n v="1218.18"/>
    <x v="580"/>
    <s v="Credit Card"/>
    <x v="1"/>
  </r>
  <r>
    <n v="1058"/>
    <x v="280"/>
    <x v="1"/>
    <x v="2"/>
    <x v="581"/>
    <x v="14"/>
    <x v="0"/>
    <n v="760.55"/>
    <x v="581"/>
    <s v="Cash"/>
    <x v="1"/>
  </r>
  <r>
    <n v="1075"/>
    <x v="3"/>
    <x v="2"/>
    <x v="1"/>
    <x v="582"/>
    <x v="31"/>
    <x v="2"/>
    <n v="967.77"/>
    <x v="582"/>
    <s v="Bank Transfer"/>
    <x v="0"/>
  </r>
  <r>
    <n v="1029"/>
    <x v="281"/>
    <x v="2"/>
    <x v="0"/>
    <x v="583"/>
    <x v="17"/>
    <x v="0"/>
    <n v="951.21"/>
    <x v="583"/>
    <s v="Cash"/>
    <x v="0"/>
  </r>
  <r>
    <n v="1036"/>
    <x v="282"/>
    <x v="0"/>
    <x v="0"/>
    <x v="17"/>
    <x v="48"/>
    <x v="2"/>
    <n v="2588.67"/>
    <x v="584"/>
    <s v="Cash"/>
    <x v="1"/>
  </r>
  <r>
    <n v="1089"/>
    <x v="3"/>
    <x v="3"/>
    <x v="0"/>
    <x v="584"/>
    <x v="41"/>
    <x v="0"/>
    <n v="4231.75"/>
    <x v="585"/>
    <s v="Credit Card"/>
    <x v="1"/>
  </r>
  <r>
    <n v="1021"/>
    <x v="208"/>
    <x v="3"/>
    <x v="0"/>
    <x v="585"/>
    <x v="12"/>
    <x v="2"/>
    <n v="444.05"/>
    <x v="586"/>
    <s v="Cash"/>
    <x v="1"/>
  </r>
  <r>
    <n v="1036"/>
    <x v="199"/>
    <x v="0"/>
    <x v="0"/>
    <x v="586"/>
    <x v="31"/>
    <x v="0"/>
    <n v="3549.43"/>
    <x v="587"/>
    <s v="Bank Transfer"/>
    <x v="0"/>
  </r>
  <r>
    <n v="1010"/>
    <x v="197"/>
    <x v="1"/>
    <x v="2"/>
    <x v="587"/>
    <x v="2"/>
    <x v="1"/>
    <n v="3289.01"/>
    <x v="588"/>
    <s v="Bank Transfer"/>
    <x v="1"/>
  </r>
  <r>
    <n v="1073"/>
    <x v="283"/>
    <x v="4"/>
    <x v="0"/>
    <x v="588"/>
    <x v="17"/>
    <x v="1"/>
    <n v="4368.97"/>
    <x v="589"/>
    <s v="Bank Transfer"/>
    <x v="1"/>
  </r>
  <r>
    <n v="1024"/>
    <x v="284"/>
    <x v="4"/>
    <x v="2"/>
    <x v="589"/>
    <x v="22"/>
    <x v="3"/>
    <n v="1258.53"/>
    <x v="590"/>
    <s v="Credit Card"/>
    <x v="0"/>
  </r>
  <r>
    <n v="1064"/>
    <x v="177"/>
    <x v="4"/>
    <x v="0"/>
    <x v="590"/>
    <x v="9"/>
    <x v="2"/>
    <n v="2278.04"/>
    <x v="591"/>
    <s v="Credit Card"/>
    <x v="1"/>
  </r>
  <r>
    <n v="1099"/>
    <x v="285"/>
    <x v="0"/>
    <x v="3"/>
    <x v="591"/>
    <x v="17"/>
    <x v="0"/>
    <n v="4632.8500000000004"/>
    <x v="592"/>
    <s v="Cash"/>
    <x v="1"/>
  </r>
  <r>
    <n v="1049"/>
    <x v="60"/>
    <x v="0"/>
    <x v="3"/>
    <x v="592"/>
    <x v="12"/>
    <x v="2"/>
    <n v="3316.97"/>
    <x v="593"/>
    <s v="Cash"/>
    <x v="0"/>
  </r>
  <r>
    <n v="1099"/>
    <x v="189"/>
    <x v="2"/>
    <x v="3"/>
    <x v="593"/>
    <x v="17"/>
    <x v="1"/>
    <n v="1974.4"/>
    <x v="594"/>
    <s v="Cash"/>
    <x v="1"/>
  </r>
  <r>
    <n v="1036"/>
    <x v="50"/>
    <x v="4"/>
    <x v="3"/>
    <x v="594"/>
    <x v="5"/>
    <x v="2"/>
    <n v="700.49"/>
    <x v="595"/>
    <s v="Credit Card"/>
    <x v="1"/>
  </r>
  <r>
    <n v="1082"/>
    <x v="239"/>
    <x v="1"/>
    <x v="2"/>
    <x v="595"/>
    <x v="39"/>
    <x v="0"/>
    <n v="1349.3"/>
    <x v="596"/>
    <s v="Credit Card"/>
    <x v="0"/>
  </r>
  <r>
    <n v="1096"/>
    <x v="62"/>
    <x v="1"/>
    <x v="2"/>
    <x v="596"/>
    <x v="15"/>
    <x v="2"/>
    <n v="2927.02"/>
    <x v="597"/>
    <s v="Cash"/>
    <x v="1"/>
  </r>
  <r>
    <n v="1024"/>
    <x v="115"/>
    <x v="4"/>
    <x v="1"/>
    <x v="597"/>
    <x v="39"/>
    <x v="0"/>
    <n v="3604.93"/>
    <x v="598"/>
    <s v="Credit Card"/>
    <x v="0"/>
  </r>
  <r>
    <n v="1023"/>
    <x v="251"/>
    <x v="4"/>
    <x v="0"/>
    <x v="598"/>
    <x v="39"/>
    <x v="1"/>
    <n v="665.89"/>
    <x v="599"/>
    <s v="Credit Card"/>
    <x v="1"/>
  </r>
  <r>
    <n v="1062"/>
    <x v="260"/>
    <x v="4"/>
    <x v="3"/>
    <x v="599"/>
    <x v="38"/>
    <x v="1"/>
    <n v="3018.01"/>
    <x v="600"/>
    <s v="Bank Transfer"/>
    <x v="1"/>
  </r>
  <r>
    <n v="1096"/>
    <x v="82"/>
    <x v="0"/>
    <x v="2"/>
    <x v="600"/>
    <x v="1"/>
    <x v="1"/>
    <n v="2774.24"/>
    <x v="601"/>
    <s v="Bank Transfer"/>
    <x v="1"/>
  </r>
  <r>
    <n v="1037"/>
    <x v="176"/>
    <x v="0"/>
    <x v="0"/>
    <x v="601"/>
    <x v="5"/>
    <x v="3"/>
    <n v="2594.08"/>
    <x v="602"/>
    <s v="Cash"/>
    <x v="1"/>
  </r>
  <r>
    <n v="1012"/>
    <x v="56"/>
    <x v="0"/>
    <x v="0"/>
    <x v="602"/>
    <x v="25"/>
    <x v="1"/>
    <n v="3466.11"/>
    <x v="603"/>
    <s v="Cash"/>
    <x v="1"/>
  </r>
  <r>
    <n v="1055"/>
    <x v="255"/>
    <x v="3"/>
    <x v="2"/>
    <x v="603"/>
    <x v="25"/>
    <x v="2"/>
    <n v="4195.38"/>
    <x v="604"/>
    <s v="Bank Transfer"/>
    <x v="0"/>
  </r>
  <r>
    <n v="1013"/>
    <x v="62"/>
    <x v="1"/>
    <x v="3"/>
    <x v="604"/>
    <x v="7"/>
    <x v="3"/>
    <n v="1648.8"/>
    <x v="605"/>
    <s v="Credit Card"/>
    <x v="1"/>
  </r>
  <r>
    <n v="1023"/>
    <x v="263"/>
    <x v="1"/>
    <x v="1"/>
    <x v="605"/>
    <x v="3"/>
    <x v="1"/>
    <n v="4450.6099999999997"/>
    <x v="606"/>
    <s v="Cash"/>
    <x v="1"/>
  </r>
  <r>
    <n v="1089"/>
    <x v="18"/>
    <x v="2"/>
    <x v="0"/>
    <x v="606"/>
    <x v="17"/>
    <x v="2"/>
    <n v="845.14"/>
    <x v="607"/>
    <s v="Cash"/>
    <x v="0"/>
  </r>
  <r>
    <n v="1099"/>
    <x v="105"/>
    <x v="0"/>
    <x v="1"/>
    <x v="607"/>
    <x v="8"/>
    <x v="2"/>
    <n v="906.47"/>
    <x v="608"/>
    <s v="Cash"/>
    <x v="0"/>
  </r>
  <r>
    <n v="1030"/>
    <x v="78"/>
    <x v="3"/>
    <x v="3"/>
    <x v="608"/>
    <x v="38"/>
    <x v="2"/>
    <n v="1370.52"/>
    <x v="609"/>
    <s v="Credit Card"/>
    <x v="1"/>
  </r>
  <r>
    <n v="1017"/>
    <x v="146"/>
    <x v="3"/>
    <x v="3"/>
    <x v="609"/>
    <x v="21"/>
    <x v="0"/>
    <n v="641.67999999999995"/>
    <x v="610"/>
    <s v="Bank Transfer"/>
    <x v="0"/>
  </r>
  <r>
    <n v="1062"/>
    <x v="176"/>
    <x v="1"/>
    <x v="1"/>
    <x v="610"/>
    <x v="23"/>
    <x v="3"/>
    <n v="1190.08"/>
    <x v="611"/>
    <s v="Cash"/>
    <x v="1"/>
  </r>
  <r>
    <n v="1084"/>
    <x v="142"/>
    <x v="0"/>
    <x v="3"/>
    <x v="611"/>
    <x v="9"/>
    <x v="2"/>
    <n v="576.74"/>
    <x v="612"/>
    <s v="Bank Transfer"/>
    <x v="0"/>
  </r>
  <r>
    <n v="1089"/>
    <x v="42"/>
    <x v="2"/>
    <x v="0"/>
    <x v="612"/>
    <x v="41"/>
    <x v="0"/>
    <n v="4117.67"/>
    <x v="613"/>
    <s v="Bank Transfer"/>
    <x v="0"/>
  </r>
  <r>
    <n v="1086"/>
    <x v="65"/>
    <x v="0"/>
    <x v="1"/>
    <x v="613"/>
    <x v="48"/>
    <x v="1"/>
    <n v="737.9"/>
    <x v="614"/>
    <s v="Credit Card"/>
    <x v="1"/>
  </r>
  <r>
    <n v="1013"/>
    <x v="11"/>
    <x v="4"/>
    <x v="3"/>
    <x v="614"/>
    <x v="42"/>
    <x v="2"/>
    <n v="3749.12"/>
    <x v="615"/>
    <s v="Credit Card"/>
    <x v="0"/>
  </r>
  <r>
    <n v="1059"/>
    <x v="115"/>
    <x v="0"/>
    <x v="1"/>
    <x v="615"/>
    <x v="20"/>
    <x v="0"/>
    <n v="287.17"/>
    <x v="616"/>
    <s v="Credit Card"/>
    <x v="1"/>
  </r>
  <r>
    <n v="1019"/>
    <x v="272"/>
    <x v="4"/>
    <x v="0"/>
    <x v="616"/>
    <x v="26"/>
    <x v="2"/>
    <n v="4745.18"/>
    <x v="617"/>
    <s v="Credit Card"/>
    <x v="0"/>
  </r>
  <r>
    <n v="1049"/>
    <x v="286"/>
    <x v="4"/>
    <x v="3"/>
    <x v="617"/>
    <x v="17"/>
    <x v="3"/>
    <n v="3570.24"/>
    <x v="618"/>
    <s v="Credit Card"/>
    <x v="0"/>
  </r>
  <r>
    <n v="1100"/>
    <x v="287"/>
    <x v="2"/>
    <x v="0"/>
    <x v="618"/>
    <x v="1"/>
    <x v="3"/>
    <n v="83.64"/>
    <x v="619"/>
    <s v="Credit Card"/>
    <x v="0"/>
  </r>
  <r>
    <n v="1012"/>
    <x v="229"/>
    <x v="1"/>
    <x v="3"/>
    <x v="619"/>
    <x v="19"/>
    <x v="1"/>
    <n v="3831.09"/>
    <x v="620"/>
    <s v="Cash"/>
    <x v="1"/>
  </r>
  <r>
    <n v="1061"/>
    <x v="288"/>
    <x v="0"/>
    <x v="2"/>
    <x v="620"/>
    <x v="23"/>
    <x v="2"/>
    <n v="2594.71"/>
    <x v="621"/>
    <s v="Bank Transfer"/>
    <x v="1"/>
  </r>
  <r>
    <n v="1019"/>
    <x v="141"/>
    <x v="4"/>
    <x v="3"/>
    <x v="621"/>
    <x v="40"/>
    <x v="0"/>
    <n v="3907.86"/>
    <x v="622"/>
    <s v="Credit Card"/>
    <x v="0"/>
  </r>
  <r>
    <n v="1076"/>
    <x v="89"/>
    <x v="0"/>
    <x v="1"/>
    <x v="622"/>
    <x v="5"/>
    <x v="1"/>
    <n v="2636.36"/>
    <x v="623"/>
    <s v="Cash"/>
    <x v="1"/>
  </r>
  <r>
    <n v="1009"/>
    <x v="113"/>
    <x v="1"/>
    <x v="3"/>
    <x v="623"/>
    <x v="21"/>
    <x v="2"/>
    <n v="3223.07"/>
    <x v="624"/>
    <s v="Bank Transfer"/>
    <x v="1"/>
  </r>
  <r>
    <n v="1071"/>
    <x v="250"/>
    <x v="1"/>
    <x v="0"/>
    <x v="624"/>
    <x v="20"/>
    <x v="1"/>
    <n v="3942.34"/>
    <x v="625"/>
    <s v="Credit Card"/>
    <x v="1"/>
  </r>
  <r>
    <n v="1028"/>
    <x v="30"/>
    <x v="3"/>
    <x v="0"/>
    <x v="625"/>
    <x v="40"/>
    <x v="0"/>
    <n v="2055.2800000000002"/>
    <x v="626"/>
    <s v="Credit Card"/>
    <x v="0"/>
  </r>
  <r>
    <n v="1078"/>
    <x v="200"/>
    <x v="1"/>
    <x v="3"/>
    <x v="626"/>
    <x v="31"/>
    <x v="1"/>
    <n v="63.41"/>
    <x v="627"/>
    <s v="Cash"/>
    <x v="1"/>
  </r>
  <r>
    <n v="1095"/>
    <x v="128"/>
    <x v="2"/>
    <x v="1"/>
    <x v="627"/>
    <x v="48"/>
    <x v="1"/>
    <n v="4257.24"/>
    <x v="628"/>
    <s v="Bank Transfer"/>
    <x v="0"/>
  </r>
  <r>
    <n v="1052"/>
    <x v="289"/>
    <x v="4"/>
    <x v="2"/>
    <x v="628"/>
    <x v="39"/>
    <x v="1"/>
    <n v="1935.41"/>
    <x v="629"/>
    <s v="Credit Card"/>
    <x v="0"/>
  </r>
  <r>
    <n v="1083"/>
    <x v="11"/>
    <x v="3"/>
    <x v="1"/>
    <x v="629"/>
    <x v="31"/>
    <x v="2"/>
    <n v="2505.41"/>
    <x v="630"/>
    <s v="Bank Transfer"/>
    <x v="0"/>
  </r>
  <r>
    <n v="1016"/>
    <x v="163"/>
    <x v="2"/>
    <x v="2"/>
    <x v="630"/>
    <x v="38"/>
    <x v="0"/>
    <n v="88.44"/>
    <x v="631"/>
    <s v="Cash"/>
    <x v="0"/>
  </r>
  <r>
    <n v="1069"/>
    <x v="148"/>
    <x v="0"/>
    <x v="0"/>
    <x v="631"/>
    <x v="41"/>
    <x v="3"/>
    <n v="2485.86"/>
    <x v="632"/>
    <s v="Credit Card"/>
    <x v="0"/>
  </r>
  <r>
    <n v="1099"/>
    <x v="290"/>
    <x v="4"/>
    <x v="1"/>
    <x v="632"/>
    <x v="16"/>
    <x v="2"/>
    <n v="4933.1099999999997"/>
    <x v="633"/>
    <s v="Bank Transfer"/>
    <x v="1"/>
  </r>
  <r>
    <n v="1012"/>
    <x v="66"/>
    <x v="1"/>
    <x v="2"/>
    <x v="633"/>
    <x v="12"/>
    <x v="3"/>
    <n v="1427.42"/>
    <x v="634"/>
    <s v="Cash"/>
    <x v="1"/>
  </r>
  <r>
    <n v="1025"/>
    <x v="291"/>
    <x v="4"/>
    <x v="3"/>
    <x v="634"/>
    <x v="42"/>
    <x v="3"/>
    <n v="2007.32"/>
    <x v="635"/>
    <s v="Cash"/>
    <x v="0"/>
  </r>
  <r>
    <n v="1052"/>
    <x v="99"/>
    <x v="0"/>
    <x v="0"/>
    <x v="635"/>
    <x v="23"/>
    <x v="2"/>
    <n v="3451.59"/>
    <x v="636"/>
    <s v="Credit Card"/>
    <x v="1"/>
  </r>
  <r>
    <n v="1085"/>
    <x v="70"/>
    <x v="3"/>
    <x v="3"/>
    <x v="636"/>
    <x v="11"/>
    <x v="2"/>
    <n v="4083.23"/>
    <x v="637"/>
    <s v="Bank Transfer"/>
    <x v="1"/>
  </r>
  <r>
    <n v="1100"/>
    <x v="206"/>
    <x v="3"/>
    <x v="0"/>
    <x v="637"/>
    <x v="8"/>
    <x v="0"/>
    <n v="2116.09"/>
    <x v="638"/>
    <s v="Credit Card"/>
    <x v="1"/>
  </r>
  <r>
    <n v="1053"/>
    <x v="57"/>
    <x v="3"/>
    <x v="1"/>
    <x v="638"/>
    <x v="23"/>
    <x v="0"/>
    <n v="1582.86"/>
    <x v="639"/>
    <s v="Credit Card"/>
    <x v="1"/>
  </r>
  <r>
    <n v="1023"/>
    <x v="186"/>
    <x v="1"/>
    <x v="1"/>
    <x v="639"/>
    <x v="27"/>
    <x v="1"/>
    <n v="4692.24"/>
    <x v="640"/>
    <s v="Bank Transfer"/>
    <x v="1"/>
  </r>
  <r>
    <n v="1016"/>
    <x v="177"/>
    <x v="2"/>
    <x v="0"/>
    <x v="640"/>
    <x v="45"/>
    <x v="3"/>
    <n v="3401.87"/>
    <x v="641"/>
    <s v="Bank Transfer"/>
    <x v="1"/>
  </r>
  <r>
    <n v="1057"/>
    <x v="231"/>
    <x v="2"/>
    <x v="0"/>
    <x v="641"/>
    <x v="26"/>
    <x v="0"/>
    <n v="639.16"/>
    <x v="642"/>
    <s v="Bank Transfer"/>
    <x v="1"/>
  </r>
  <r>
    <n v="1039"/>
    <x v="292"/>
    <x v="4"/>
    <x v="0"/>
    <x v="642"/>
    <x v="45"/>
    <x v="1"/>
    <n v="391.19"/>
    <x v="643"/>
    <s v="Cash"/>
    <x v="0"/>
  </r>
  <r>
    <n v="1053"/>
    <x v="54"/>
    <x v="1"/>
    <x v="1"/>
    <x v="643"/>
    <x v="31"/>
    <x v="0"/>
    <n v="2443.5700000000002"/>
    <x v="644"/>
    <s v="Cash"/>
    <x v="0"/>
  </r>
  <r>
    <n v="1042"/>
    <x v="290"/>
    <x v="3"/>
    <x v="2"/>
    <x v="644"/>
    <x v="30"/>
    <x v="2"/>
    <n v="1139.45"/>
    <x v="645"/>
    <s v="Bank Transfer"/>
    <x v="0"/>
  </r>
  <r>
    <n v="1058"/>
    <x v="263"/>
    <x v="3"/>
    <x v="3"/>
    <x v="645"/>
    <x v="37"/>
    <x v="0"/>
    <n v="1307.22"/>
    <x v="646"/>
    <s v="Cash"/>
    <x v="1"/>
  </r>
  <r>
    <n v="1039"/>
    <x v="68"/>
    <x v="0"/>
    <x v="3"/>
    <x v="646"/>
    <x v="39"/>
    <x v="3"/>
    <n v="4394.58"/>
    <x v="647"/>
    <s v="Credit Card"/>
    <x v="1"/>
  </r>
  <r>
    <n v="1014"/>
    <x v="293"/>
    <x v="0"/>
    <x v="1"/>
    <x v="647"/>
    <x v="37"/>
    <x v="0"/>
    <n v="493.35"/>
    <x v="648"/>
    <s v="Bank Transfer"/>
    <x v="0"/>
  </r>
  <r>
    <n v="1095"/>
    <x v="42"/>
    <x v="3"/>
    <x v="3"/>
    <x v="648"/>
    <x v="25"/>
    <x v="3"/>
    <n v="3591.05"/>
    <x v="649"/>
    <s v="Credit Card"/>
    <x v="1"/>
  </r>
  <r>
    <n v="1005"/>
    <x v="116"/>
    <x v="3"/>
    <x v="0"/>
    <x v="649"/>
    <x v="39"/>
    <x v="2"/>
    <n v="1392.15"/>
    <x v="650"/>
    <s v="Bank Transfer"/>
    <x v="1"/>
  </r>
  <r>
    <n v="1035"/>
    <x v="133"/>
    <x v="1"/>
    <x v="2"/>
    <x v="650"/>
    <x v="2"/>
    <x v="3"/>
    <n v="3813.62"/>
    <x v="651"/>
    <s v="Credit Card"/>
    <x v="0"/>
  </r>
  <r>
    <n v="1087"/>
    <x v="285"/>
    <x v="2"/>
    <x v="3"/>
    <x v="651"/>
    <x v="46"/>
    <x v="0"/>
    <n v="3625.94"/>
    <x v="652"/>
    <s v="Bank Transfer"/>
    <x v="0"/>
  </r>
  <r>
    <n v="1093"/>
    <x v="294"/>
    <x v="0"/>
    <x v="2"/>
    <x v="652"/>
    <x v="34"/>
    <x v="1"/>
    <n v="86.59"/>
    <x v="653"/>
    <s v="Credit Card"/>
    <x v="0"/>
  </r>
  <r>
    <n v="1075"/>
    <x v="257"/>
    <x v="2"/>
    <x v="0"/>
    <x v="653"/>
    <x v="40"/>
    <x v="2"/>
    <n v="2570.2199999999998"/>
    <x v="654"/>
    <s v="Bank Transfer"/>
    <x v="1"/>
  </r>
  <r>
    <n v="1018"/>
    <x v="278"/>
    <x v="1"/>
    <x v="3"/>
    <x v="654"/>
    <x v="44"/>
    <x v="0"/>
    <n v="739.63"/>
    <x v="655"/>
    <s v="Bank Transfer"/>
    <x v="1"/>
  </r>
  <r>
    <n v="1076"/>
    <x v="211"/>
    <x v="3"/>
    <x v="1"/>
    <x v="655"/>
    <x v="5"/>
    <x v="2"/>
    <n v="4337.82"/>
    <x v="656"/>
    <s v="Cash"/>
    <x v="1"/>
  </r>
  <r>
    <n v="1009"/>
    <x v="103"/>
    <x v="2"/>
    <x v="2"/>
    <x v="656"/>
    <x v="15"/>
    <x v="2"/>
    <n v="4364.3500000000004"/>
    <x v="657"/>
    <s v="Credit Card"/>
    <x v="0"/>
  </r>
  <r>
    <n v="1074"/>
    <x v="79"/>
    <x v="3"/>
    <x v="0"/>
    <x v="657"/>
    <x v="31"/>
    <x v="0"/>
    <n v="2120.81"/>
    <x v="658"/>
    <s v="Cash"/>
    <x v="0"/>
  </r>
  <r>
    <n v="1058"/>
    <x v="295"/>
    <x v="3"/>
    <x v="2"/>
    <x v="658"/>
    <x v="11"/>
    <x v="0"/>
    <n v="2249.7600000000002"/>
    <x v="659"/>
    <s v="Credit Card"/>
    <x v="1"/>
  </r>
  <r>
    <n v="1017"/>
    <x v="296"/>
    <x v="4"/>
    <x v="3"/>
    <x v="659"/>
    <x v="19"/>
    <x v="1"/>
    <n v="1551.25"/>
    <x v="660"/>
    <s v="Cash"/>
    <x v="0"/>
  </r>
  <r>
    <n v="1007"/>
    <x v="238"/>
    <x v="2"/>
    <x v="3"/>
    <x v="660"/>
    <x v="4"/>
    <x v="2"/>
    <n v="3597.2"/>
    <x v="661"/>
    <s v="Bank Transfer"/>
    <x v="0"/>
  </r>
  <r>
    <n v="1046"/>
    <x v="91"/>
    <x v="2"/>
    <x v="1"/>
    <x v="661"/>
    <x v="36"/>
    <x v="2"/>
    <n v="1825.37"/>
    <x v="662"/>
    <s v="Cash"/>
    <x v="1"/>
  </r>
  <r>
    <n v="1013"/>
    <x v="297"/>
    <x v="3"/>
    <x v="0"/>
    <x v="662"/>
    <x v="31"/>
    <x v="0"/>
    <n v="1375.57"/>
    <x v="663"/>
    <s v="Cash"/>
    <x v="0"/>
  </r>
  <r>
    <n v="1040"/>
    <x v="204"/>
    <x v="1"/>
    <x v="0"/>
    <x v="663"/>
    <x v="20"/>
    <x v="3"/>
    <n v="2189.54"/>
    <x v="664"/>
    <s v="Bank Transfer"/>
    <x v="0"/>
  </r>
  <r>
    <n v="1042"/>
    <x v="127"/>
    <x v="4"/>
    <x v="1"/>
    <x v="664"/>
    <x v="35"/>
    <x v="0"/>
    <n v="502.86"/>
    <x v="665"/>
    <s v="Cash"/>
    <x v="0"/>
  </r>
  <r>
    <n v="1009"/>
    <x v="157"/>
    <x v="3"/>
    <x v="1"/>
    <x v="665"/>
    <x v="25"/>
    <x v="2"/>
    <n v="3745.69"/>
    <x v="666"/>
    <s v="Bank Transfer"/>
    <x v="1"/>
  </r>
  <r>
    <n v="1050"/>
    <x v="28"/>
    <x v="0"/>
    <x v="0"/>
    <x v="666"/>
    <x v="27"/>
    <x v="0"/>
    <n v="112.35"/>
    <x v="667"/>
    <s v="Credit Card"/>
    <x v="1"/>
  </r>
  <r>
    <n v="1027"/>
    <x v="222"/>
    <x v="0"/>
    <x v="2"/>
    <x v="667"/>
    <x v="33"/>
    <x v="1"/>
    <n v="3240.2"/>
    <x v="668"/>
    <s v="Cash"/>
    <x v="0"/>
  </r>
  <r>
    <n v="1066"/>
    <x v="11"/>
    <x v="4"/>
    <x v="2"/>
    <x v="668"/>
    <x v="46"/>
    <x v="3"/>
    <n v="955.18"/>
    <x v="669"/>
    <s v="Bank Transfer"/>
    <x v="1"/>
  </r>
  <r>
    <n v="1005"/>
    <x v="136"/>
    <x v="1"/>
    <x v="1"/>
    <x v="669"/>
    <x v="8"/>
    <x v="0"/>
    <n v="1200.4000000000001"/>
    <x v="670"/>
    <s v="Bank Transfer"/>
    <x v="1"/>
  </r>
  <r>
    <n v="1029"/>
    <x v="277"/>
    <x v="3"/>
    <x v="2"/>
    <x v="670"/>
    <x v="30"/>
    <x v="1"/>
    <n v="3196.38"/>
    <x v="671"/>
    <s v="Cash"/>
    <x v="1"/>
  </r>
  <r>
    <n v="1037"/>
    <x v="231"/>
    <x v="2"/>
    <x v="0"/>
    <x v="671"/>
    <x v="36"/>
    <x v="2"/>
    <n v="4965.07"/>
    <x v="672"/>
    <s v="Credit Card"/>
    <x v="0"/>
  </r>
  <r>
    <n v="1038"/>
    <x v="32"/>
    <x v="4"/>
    <x v="3"/>
    <x v="672"/>
    <x v="25"/>
    <x v="0"/>
    <n v="3899.7"/>
    <x v="673"/>
    <s v="Cash"/>
    <x v="1"/>
  </r>
  <r>
    <n v="1083"/>
    <x v="170"/>
    <x v="1"/>
    <x v="3"/>
    <x v="673"/>
    <x v="24"/>
    <x v="2"/>
    <n v="1167.9100000000001"/>
    <x v="674"/>
    <s v="Bank Transfer"/>
    <x v="0"/>
  </r>
  <r>
    <n v="1008"/>
    <x v="70"/>
    <x v="2"/>
    <x v="2"/>
    <x v="674"/>
    <x v="5"/>
    <x v="1"/>
    <n v="921.32"/>
    <x v="675"/>
    <s v="Credit Card"/>
    <x v="0"/>
  </r>
  <r>
    <n v="1065"/>
    <x v="11"/>
    <x v="0"/>
    <x v="1"/>
    <x v="675"/>
    <x v="42"/>
    <x v="2"/>
    <n v="4337.8500000000004"/>
    <x v="676"/>
    <s v="Cash"/>
    <x v="1"/>
  </r>
  <r>
    <n v="1086"/>
    <x v="298"/>
    <x v="0"/>
    <x v="1"/>
    <x v="676"/>
    <x v="44"/>
    <x v="1"/>
    <n v="2248.71"/>
    <x v="677"/>
    <s v="Bank Transfer"/>
    <x v="0"/>
  </r>
  <r>
    <n v="1017"/>
    <x v="61"/>
    <x v="2"/>
    <x v="1"/>
    <x v="677"/>
    <x v="39"/>
    <x v="1"/>
    <n v="728.41"/>
    <x v="678"/>
    <s v="Cash"/>
    <x v="1"/>
  </r>
  <r>
    <n v="1071"/>
    <x v="90"/>
    <x v="4"/>
    <x v="1"/>
    <x v="678"/>
    <x v="26"/>
    <x v="1"/>
    <n v="4317.95"/>
    <x v="679"/>
    <s v="Credit Card"/>
    <x v="1"/>
  </r>
  <r>
    <n v="1089"/>
    <x v="175"/>
    <x v="0"/>
    <x v="1"/>
    <x v="679"/>
    <x v="11"/>
    <x v="0"/>
    <n v="4089.66"/>
    <x v="680"/>
    <s v="Credit Card"/>
    <x v="0"/>
  </r>
  <r>
    <n v="1045"/>
    <x v="273"/>
    <x v="3"/>
    <x v="2"/>
    <x v="680"/>
    <x v="14"/>
    <x v="2"/>
    <n v="4920.34"/>
    <x v="681"/>
    <s v="Credit Card"/>
    <x v="0"/>
  </r>
  <r>
    <n v="1004"/>
    <x v="59"/>
    <x v="2"/>
    <x v="3"/>
    <x v="681"/>
    <x v="26"/>
    <x v="2"/>
    <n v="4553.2299999999996"/>
    <x v="682"/>
    <s v="Credit Card"/>
    <x v="1"/>
  </r>
  <r>
    <n v="1036"/>
    <x v="299"/>
    <x v="2"/>
    <x v="3"/>
    <x v="682"/>
    <x v="42"/>
    <x v="3"/>
    <n v="4266.3599999999997"/>
    <x v="683"/>
    <s v="Credit Card"/>
    <x v="1"/>
  </r>
  <r>
    <n v="1070"/>
    <x v="94"/>
    <x v="0"/>
    <x v="2"/>
    <x v="683"/>
    <x v="14"/>
    <x v="3"/>
    <n v="310.24"/>
    <x v="684"/>
    <s v="Cash"/>
    <x v="1"/>
  </r>
  <r>
    <n v="1031"/>
    <x v="273"/>
    <x v="4"/>
    <x v="1"/>
    <x v="684"/>
    <x v="15"/>
    <x v="3"/>
    <n v="566.86"/>
    <x v="685"/>
    <s v="Credit Card"/>
    <x v="1"/>
  </r>
  <r>
    <n v="1019"/>
    <x v="300"/>
    <x v="3"/>
    <x v="2"/>
    <x v="685"/>
    <x v="5"/>
    <x v="3"/>
    <n v="2866.47"/>
    <x v="686"/>
    <s v="Credit Card"/>
    <x v="0"/>
  </r>
  <r>
    <n v="1061"/>
    <x v="228"/>
    <x v="4"/>
    <x v="3"/>
    <x v="686"/>
    <x v="24"/>
    <x v="2"/>
    <n v="2680.82"/>
    <x v="687"/>
    <s v="Bank Transfer"/>
    <x v="0"/>
  </r>
  <r>
    <n v="1054"/>
    <x v="194"/>
    <x v="1"/>
    <x v="0"/>
    <x v="687"/>
    <x v="10"/>
    <x v="1"/>
    <n v="2316.92"/>
    <x v="688"/>
    <s v="Credit Card"/>
    <x v="0"/>
  </r>
  <r>
    <n v="1039"/>
    <x v="32"/>
    <x v="1"/>
    <x v="2"/>
    <x v="688"/>
    <x v="46"/>
    <x v="1"/>
    <n v="2014.11"/>
    <x v="689"/>
    <s v="Bank Transfer"/>
    <x v="1"/>
  </r>
  <r>
    <n v="1091"/>
    <x v="275"/>
    <x v="0"/>
    <x v="1"/>
    <x v="689"/>
    <x v="3"/>
    <x v="0"/>
    <n v="2184.4899999999998"/>
    <x v="690"/>
    <s v="Bank Transfer"/>
    <x v="0"/>
  </r>
  <r>
    <n v="1074"/>
    <x v="185"/>
    <x v="0"/>
    <x v="3"/>
    <x v="690"/>
    <x v="39"/>
    <x v="1"/>
    <n v="2868.02"/>
    <x v="691"/>
    <s v="Bank Transfer"/>
    <x v="0"/>
  </r>
  <r>
    <n v="1090"/>
    <x v="24"/>
    <x v="0"/>
    <x v="3"/>
    <x v="691"/>
    <x v="21"/>
    <x v="2"/>
    <n v="60.28"/>
    <x v="692"/>
    <s v="Cash"/>
    <x v="0"/>
  </r>
  <r>
    <n v="1019"/>
    <x v="89"/>
    <x v="1"/>
    <x v="3"/>
    <x v="692"/>
    <x v="43"/>
    <x v="2"/>
    <n v="1340.51"/>
    <x v="693"/>
    <s v="Cash"/>
    <x v="0"/>
  </r>
  <r>
    <n v="1039"/>
    <x v="137"/>
    <x v="4"/>
    <x v="3"/>
    <x v="693"/>
    <x v="38"/>
    <x v="2"/>
    <n v="2615.48"/>
    <x v="694"/>
    <s v="Bank Transfer"/>
    <x v="1"/>
  </r>
  <r>
    <n v="1067"/>
    <x v="301"/>
    <x v="4"/>
    <x v="1"/>
    <x v="694"/>
    <x v="30"/>
    <x v="0"/>
    <n v="3624.97"/>
    <x v="695"/>
    <s v="Cash"/>
    <x v="0"/>
  </r>
  <r>
    <n v="1045"/>
    <x v="204"/>
    <x v="0"/>
    <x v="0"/>
    <x v="695"/>
    <x v="39"/>
    <x v="3"/>
    <n v="912.08"/>
    <x v="696"/>
    <s v="Credit Card"/>
    <x v="0"/>
  </r>
  <r>
    <n v="1013"/>
    <x v="302"/>
    <x v="3"/>
    <x v="3"/>
    <x v="696"/>
    <x v="17"/>
    <x v="1"/>
    <n v="2757.06"/>
    <x v="697"/>
    <s v="Cash"/>
    <x v="0"/>
  </r>
  <r>
    <n v="1092"/>
    <x v="32"/>
    <x v="4"/>
    <x v="2"/>
    <x v="697"/>
    <x v="28"/>
    <x v="2"/>
    <n v="3586.58"/>
    <x v="698"/>
    <s v="Credit Card"/>
    <x v="0"/>
  </r>
  <r>
    <n v="1058"/>
    <x v="266"/>
    <x v="1"/>
    <x v="0"/>
    <x v="698"/>
    <x v="39"/>
    <x v="2"/>
    <n v="2250.91"/>
    <x v="699"/>
    <s v="Credit Card"/>
    <x v="1"/>
  </r>
  <r>
    <n v="1020"/>
    <x v="32"/>
    <x v="2"/>
    <x v="3"/>
    <x v="699"/>
    <x v="6"/>
    <x v="3"/>
    <n v="184.05"/>
    <x v="700"/>
    <s v="Cash"/>
    <x v="1"/>
  </r>
  <r>
    <n v="1092"/>
    <x v="171"/>
    <x v="2"/>
    <x v="0"/>
    <x v="700"/>
    <x v="13"/>
    <x v="2"/>
    <n v="2273.88"/>
    <x v="701"/>
    <s v="Cash"/>
    <x v="0"/>
  </r>
  <r>
    <n v="1072"/>
    <x v="104"/>
    <x v="2"/>
    <x v="2"/>
    <x v="701"/>
    <x v="26"/>
    <x v="1"/>
    <n v="1517.4"/>
    <x v="702"/>
    <s v="Bank Transfer"/>
    <x v="1"/>
  </r>
  <r>
    <n v="1061"/>
    <x v="15"/>
    <x v="3"/>
    <x v="3"/>
    <x v="702"/>
    <x v="35"/>
    <x v="0"/>
    <n v="4651.7700000000004"/>
    <x v="703"/>
    <s v="Cash"/>
    <x v="1"/>
  </r>
  <r>
    <n v="1039"/>
    <x v="291"/>
    <x v="0"/>
    <x v="2"/>
    <x v="703"/>
    <x v="40"/>
    <x v="2"/>
    <n v="666.84"/>
    <x v="704"/>
    <s v="Cash"/>
    <x v="1"/>
  </r>
  <r>
    <n v="1001"/>
    <x v="133"/>
    <x v="1"/>
    <x v="1"/>
    <x v="704"/>
    <x v="46"/>
    <x v="1"/>
    <n v="3279.76"/>
    <x v="705"/>
    <s v="Cash"/>
    <x v="1"/>
  </r>
  <r>
    <n v="1003"/>
    <x v="216"/>
    <x v="3"/>
    <x v="3"/>
    <x v="705"/>
    <x v="3"/>
    <x v="2"/>
    <n v="310.95999999999998"/>
    <x v="706"/>
    <s v="Credit Card"/>
    <x v="0"/>
  </r>
  <r>
    <n v="1077"/>
    <x v="303"/>
    <x v="1"/>
    <x v="3"/>
    <x v="706"/>
    <x v="38"/>
    <x v="3"/>
    <n v="2258.54"/>
    <x v="707"/>
    <s v="Credit Card"/>
    <x v="1"/>
  </r>
  <r>
    <n v="1092"/>
    <x v="74"/>
    <x v="1"/>
    <x v="3"/>
    <x v="707"/>
    <x v="9"/>
    <x v="2"/>
    <n v="2792.2"/>
    <x v="708"/>
    <s v="Credit Card"/>
    <x v="1"/>
  </r>
  <r>
    <n v="1062"/>
    <x v="154"/>
    <x v="0"/>
    <x v="3"/>
    <x v="708"/>
    <x v="15"/>
    <x v="2"/>
    <n v="1524.88"/>
    <x v="709"/>
    <s v="Bank Transfer"/>
    <x v="0"/>
  </r>
  <r>
    <n v="1063"/>
    <x v="111"/>
    <x v="2"/>
    <x v="1"/>
    <x v="709"/>
    <x v="7"/>
    <x v="0"/>
    <n v="2302.62"/>
    <x v="710"/>
    <s v="Bank Transfer"/>
    <x v="0"/>
  </r>
  <r>
    <n v="1025"/>
    <x v="229"/>
    <x v="0"/>
    <x v="3"/>
    <x v="710"/>
    <x v="28"/>
    <x v="3"/>
    <n v="859.59"/>
    <x v="711"/>
    <s v="Bank Transfer"/>
    <x v="0"/>
  </r>
  <r>
    <n v="1056"/>
    <x v="229"/>
    <x v="3"/>
    <x v="0"/>
    <x v="711"/>
    <x v="35"/>
    <x v="3"/>
    <n v="1555.41"/>
    <x v="712"/>
    <s v="Credit Card"/>
    <x v="0"/>
  </r>
  <r>
    <n v="1033"/>
    <x v="304"/>
    <x v="3"/>
    <x v="3"/>
    <x v="712"/>
    <x v="0"/>
    <x v="0"/>
    <n v="3124.48"/>
    <x v="713"/>
    <s v="Cash"/>
    <x v="1"/>
  </r>
  <r>
    <n v="1038"/>
    <x v="305"/>
    <x v="3"/>
    <x v="1"/>
    <x v="713"/>
    <x v="38"/>
    <x v="2"/>
    <n v="1543.91"/>
    <x v="714"/>
    <s v="Bank Transfer"/>
    <x v="0"/>
  </r>
  <r>
    <n v="1006"/>
    <x v="278"/>
    <x v="0"/>
    <x v="3"/>
    <x v="714"/>
    <x v="28"/>
    <x v="1"/>
    <n v="4503.7299999999996"/>
    <x v="715"/>
    <s v="Bank Transfer"/>
    <x v="1"/>
  </r>
  <r>
    <n v="1058"/>
    <x v="147"/>
    <x v="1"/>
    <x v="0"/>
    <x v="715"/>
    <x v="24"/>
    <x v="3"/>
    <n v="3160.61"/>
    <x v="716"/>
    <s v="Credit Card"/>
    <x v="1"/>
  </r>
  <r>
    <n v="1044"/>
    <x v="306"/>
    <x v="1"/>
    <x v="1"/>
    <x v="716"/>
    <x v="26"/>
    <x v="3"/>
    <n v="2221.31"/>
    <x v="717"/>
    <s v="Bank Transfer"/>
    <x v="0"/>
  </r>
  <r>
    <n v="1045"/>
    <x v="307"/>
    <x v="4"/>
    <x v="1"/>
    <x v="717"/>
    <x v="33"/>
    <x v="2"/>
    <n v="241.85"/>
    <x v="718"/>
    <s v="Cash"/>
    <x v="0"/>
  </r>
  <r>
    <n v="1032"/>
    <x v="253"/>
    <x v="3"/>
    <x v="0"/>
    <x v="718"/>
    <x v="32"/>
    <x v="2"/>
    <n v="2522.7600000000002"/>
    <x v="719"/>
    <s v="Credit Card"/>
    <x v="1"/>
  </r>
  <r>
    <n v="1045"/>
    <x v="277"/>
    <x v="1"/>
    <x v="0"/>
    <x v="719"/>
    <x v="43"/>
    <x v="3"/>
    <n v="3835.64"/>
    <x v="720"/>
    <s v="Credit Card"/>
    <x v="1"/>
  </r>
  <r>
    <n v="1061"/>
    <x v="64"/>
    <x v="4"/>
    <x v="0"/>
    <x v="720"/>
    <x v="27"/>
    <x v="2"/>
    <n v="1364.51"/>
    <x v="721"/>
    <s v="Cash"/>
    <x v="0"/>
  </r>
  <r>
    <n v="1047"/>
    <x v="308"/>
    <x v="1"/>
    <x v="0"/>
    <x v="721"/>
    <x v="43"/>
    <x v="1"/>
    <n v="4043.53"/>
    <x v="722"/>
    <s v="Cash"/>
    <x v="0"/>
  </r>
  <r>
    <n v="1021"/>
    <x v="309"/>
    <x v="3"/>
    <x v="0"/>
    <x v="722"/>
    <x v="33"/>
    <x v="3"/>
    <n v="1296.44"/>
    <x v="723"/>
    <s v="Cash"/>
    <x v="0"/>
  </r>
  <r>
    <n v="1080"/>
    <x v="217"/>
    <x v="2"/>
    <x v="1"/>
    <x v="723"/>
    <x v="28"/>
    <x v="1"/>
    <n v="4127.54"/>
    <x v="724"/>
    <s v="Bank Transfer"/>
    <x v="1"/>
  </r>
  <r>
    <n v="1085"/>
    <x v="212"/>
    <x v="3"/>
    <x v="1"/>
    <x v="724"/>
    <x v="25"/>
    <x v="1"/>
    <n v="472.08"/>
    <x v="725"/>
    <s v="Cash"/>
    <x v="1"/>
  </r>
  <r>
    <n v="1075"/>
    <x v="48"/>
    <x v="0"/>
    <x v="3"/>
    <x v="725"/>
    <x v="43"/>
    <x v="2"/>
    <n v="4337.6099999999997"/>
    <x v="726"/>
    <s v="Credit Card"/>
    <x v="0"/>
  </r>
  <r>
    <n v="1036"/>
    <x v="236"/>
    <x v="1"/>
    <x v="3"/>
    <x v="726"/>
    <x v="44"/>
    <x v="1"/>
    <n v="2520.9699999999998"/>
    <x v="727"/>
    <s v="Cash"/>
    <x v="1"/>
  </r>
  <r>
    <n v="1099"/>
    <x v="306"/>
    <x v="1"/>
    <x v="2"/>
    <x v="727"/>
    <x v="5"/>
    <x v="2"/>
    <n v="1517.86"/>
    <x v="728"/>
    <s v="Credit Card"/>
    <x v="0"/>
  </r>
  <r>
    <n v="1019"/>
    <x v="310"/>
    <x v="0"/>
    <x v="3"/>
    <x v="728"/>
    <x v="19"/>
    <x v="0"/>
    <n v="1362.31"/>
    <x v="729"/>
    <s v="Credit Card"/>
    <x v="1"/>
  </r>
  <r>
    <n v="1020"/>
    <x v="207"/>
    <x v="0"/>
    <x v="3"/>
    <x v="729"/>
    <x v="27"/>
    <x v="2"/>
    <n v="2188.4499999999998"/>
    <x v="730"/>
    <s v="Bank Transfer"/>
    <x v="1"/>
  </r>
  <r>
    <n v="1057"/>
    <x v="31"/>
    <x v="2"/>
    <x v="0"/>
    <x v="730"/>
    <x v="43"/>
    <x v="1"/>
    <n v="4995.3"/>
    <x v="731"/>
    <s v="Cash"/>
    <x v="0"/>
  </r>
  <r>
    <n v="1018"/>
    <x v="112"/>
    <x v="1"/>
    <x v="0"/>
    <x v="731"/>
    <x v="46"/>
    <x v="0"/>
    <n v="1140.6199999999999"/>
    <x v="732"/>
    <s v="Bank Transfer"/>
    <x v="0"/>
  </r>
  <r>
    <n v="1047"/>
    <x v="294"/>
    <x v="1"/>
    <x v="3"/>
    <x v="732"/>
    <x v="0"/>
    <x v="2"/>
    <n v="560.91999999999996"/>
    <x v="733"/>
    <s v="Cash"/>
    <x v="0"/>
  </r>
  <r>
    <n v="1049"/>
    <x v="147"/>
    <x v="2"/>
    <x v="2"/>
    <x v="733"/>
    <x v="34"/>
    <x v="1"/>
    <n v="2945.92"/>
    <x v="734"/>
    <s v="Cash"/>
    <x v="1"/>
  </r>
  <r>
    <n v="1014"/>
    <x v="189"/>
    <x v="4"/>
    <x v="0"/>
    <x v="734"/>
    <x v="45"/>
    <x v="3"/>
    <n v="2468.29"/>
    <x v="735"/>
    <s v="Cash"/>
    <x v="1"/>
  </r>
  <r>
    <n v="1015"/>
    <x v="118"/>
    <x v="2"/>
    <x v="3"/>
    <x v="735"/>
    <x v="18"/>
    <x v="3"/>
    <n v="2644.77"/>
    <x v="736"/>
    <s v="Cash"/>
    <x v="0"/>
  </r>
  <r>
    <n v="1031"/>
    <x v="218"/>
    <x v="3"/>
    <x v="3"/>
    <x v="736"/>
    <x v="5"/>
    <x v="2"/>
    <n v="3351.33"/>
    <x v="737"/>
    <s v="Cash"/>
    <x v="1"/>
  </r>
  <r>
    <n v="1001"/>
    <x v="64"/>
    <x v="1"/>
    <x v="1"/>
    <x v="737"/>
    <x v="27"/>
    <x v="2"/>
    <n v="1372.36"/>
    <x v="738"/>
    <s v="Credit Card"/>
    <x v="0"/>
  </r>
  <r>
    <n v="1054"/>
    <x v="311"/>
    <x v="0"/>
    <x v="2"/>
    <x v="738"/>
    <x v="25"/>
    <x v="3"/>
    <n v="4557.79"/>
    <x v="739"/>
    <s v="Credit Card"/>
    <x v="1"/>
  </r>
  <r>
    <n v="1003"/>
    <x v="312"/>
    <x v="3"/>
    <x v="1"/>
    <x v="739"/>
    <x v="47"/>
    <x v="1"/>
    <n v="2206.58"/>
    <x v="740"/>
    <s v="Cash"/>
    <x v="0"/>
  </r>
  <r>
    <n v="1016"/>
    <x v="313"/>
    <x v="1"/>
    <x v="2"/>
    <x v="740"/>
    <x v="41"/>
    <x v="1"/>
    <n v="688.98"/>
    <x v="741"/>
    <s v="Credit Card"/>
    <x v="1"/>
  </r>
  <r>
    <n v="1087"/>
    <x v="267"/>
    <x v="2"/>
    <x v="0"/>
    <x v="741"/>
    <x v="9"/>
    <x v="1"/>
    <n v="3724.38"/>
    <x v="742"/>
    <s v="Bank Transfer"/>
    <x v="1"/>
  </r>
  <r>
    <n v="1057"/>
    <x v="105"/>
    <x v="3"/>
    <x v="2"/>
    <x v="742"/>
    <x v="11"/>
    <x v="2"/>
    <n v="3233.37"/>
    <x v="743"/>
    <s v="Bank Transfer"/>
    <x v="1"/>
  </r>
  <r>
    <n v="1075"/>
    <x v="185"/>
    <x v="1"/>
    <x v="3"/>
    <x v="743"/>
    <x v="28"/>
    <x v="0"/>
    <n v="1612.93"/>
    <x v="744"/>
    <s v="Bank Transfer"/>
    <x v="1"/>
  </r>
  <r>
    <n v="1012"/>
    <x v="73"/>
    <x v="4"/>
    <x v="3"/>
    <x v="744"/>
    <x v="3"/>
    <x v="0"/>
    <n v="3126.52"/>
    <x v="745"/>
    <s v="Cash"/>
    <x v="0"/>
  </r>
  <r>
    <n v="1074"/>
    <x v="248"/>
    <x v="4"/>
    <x v="2"/>
    <x v="745"/>
    <x v="17"/>
    <x v="0"/>
    <n v="1138.32"/>
    <x v="746"/>
    <s v="Cash"/>
    <x v="1"/>
  </r>
  <r>
    <n v="1096"/>
    <x v="309"/>
    <x v="0"/>
    <x v="2"/>
    <x v="746"/>
    <x v="28"/>
    <x v="0"/>
    <n v="2251.9499999999998"/>
    <x v="747"/>
    <s v="Credit Card"/>
    <x v="0"/>
  </r>
  <r>
    <n v="1016"/>
    <x v="55"/>
    <x v="1"/>
    <x v="2"/>
    <x v="747"/>
    <x v="32"/>
    <x v="0"/>
    <n v="4502.09"/>
    <x v="748"/>
    <s v="Credit Card"/>
    <x v="0"/>
  </r>
  <r>
    <n v="1072"/>
    <x v="314"/>
    <x v="4"/>
    <x v="1"/>
    <x v="748"/>
    <x v="26"/>
    <x v="2"/>
    <n v="710.99"/>
    <x v="749"/>
    <s v="Credit Card"/>
    <x v="0"/>
  </r>
  <r>
    <n v="1076"/>
    <x v="172"/>
    <x v="2"/>
    <x v="2"/>
    <x v="749"/>
    <x v="25"/>
    <x v="2"/>
    <n v="1964.15"/>
    <x v="750"/>
    <s v="Bank Transfer"/>
    <x v="0"/>
  </r>
  <r>
    <n v="1024"/>
    <x v="143"/>
    <x v="1"/>
    <x v="0"/>
    <x v="750"/>
    <x v="1"/>
    <x v="0"/>
    <n v="4114.66"/>
    <x v="751"/>
    <s v="Bank Transfer"/>
    <x v="1"/>
  </r>
  <r>
    <n v="1028"/>
    <x v="34"/>
    <x v="2"/>
    <x v="1"/>
    <x v="751"/>
    <x v="27"/>
    <x v="2"/>
    <n v="4848.9799999999996"/>
    <x v="752"/>
    <s v="Bank Transfer"/>
    <x v="0"/>
  </r>
  <r>
    <n v="1008"/>
    <x v="266"/>
    <x v="2"/>
    <x v="1"/>
    <x v="752"/>
    <x v="18"/>
    <x v="2"/>
    <n v="2296.9299999999998"/>
    <x v="753"/>
    <s v="Bank Transfer"/>
    <x v="1"/>
  </r>
  <r>
    <n v="1092"/>
    <x v="217"/>
    <x v="4"/>
    <x v="2"/>
    <x v="753"/>
    <x v="28"/>
    <x v="0"/>
    <n v="2559.65"/>
    <x v="754"/>
    <s v="Credit Card"/>
    <x v="1"/>
  </r>
  <r>
    <n v="1036"/>
    <x v="176"/>
    <x v="1"/>
    <x v="0"/>
    <x v="754"/>
    <x v="48"/>
    <x v="1"/>
    <n v="2882.25"/>
    <x v="755"/>
    <s v="Cash"/>
    <x v="1"/>
  </r>
  <r>
    <n v="1090"/>
    <x v="13"/>
    <x v="3"/>
    <x v="1"/>
    <x v="755"/>
    <x v="7"/>
    <x v="2"/>
    <n v="4665.12"/>
    <x v="756"/>
    <s v="Cash"/>
    <x v="1"/>
  </r>
  <r>
    <n v="1008"/>
    <x v="315"/>
    <x v="4"/>
    <x v="3"/>
    <x v="756"/>
    <x v="5"/>
    <x v="1"/>
    <n v="4298.12"/>
    <x v="757"/>
    <s v="Bank Transfer"/>
    <x v="0"/>
  </r>
  <r>
    <n v="1058"/>
    <x v="49"/>
    <x v="4"/>
    <x v="1"/>
    <x v="757"/>
    <x v="13"/>
    <x v="2"/>
    <n v="894.48"/>
    <x v="758"/>
    <s v="Cash"/>
    <x v="1"/>
  </r>
  <r>
    <n v="1060"/>
    <x v="316"/>
    <x v="1"/>
    <x v="2"/>
    <x v="758"/>
    <x v="16"/>
    <x v="2"/>
    <n v="2211.9499999999998"/>
    <x v="759"/>
    <s v="Cash"/>
    <x v="0"/>
  </r>
  <r>
    <n v="1050"/>
    <x v="314"/>
    <x v="1"/>
    <x v="0"/>
    <x v="759"/>
    <x v="1"/>
    <x v="0"/>
    <n v="2346.8000000000002"/>
    <x v="760"/>
    <s v="Cash"/>
    <x v="1"/>
  </r>
  <r>
    <n v="1028"/>
    <x v="185"/>
    <x v="2"/>
    <x v="2"/>
    <x v="760"/>
    <x v="36"/>
    <x v="2"/>
    <n v="3956.03"/>
    <x v="761"/>
    <s v="Bank Transfer"/>
    <x v="1"/>
  </r>
  <r>
    <n v="1092"/>
    <x v="78"/>
    <x v="1"/>
    <x v="3"/>
    <x v="761"/>
    <x v="20"/>
    <x v="3"/>
    <n v="3034.32"/>
    <x v="762"/>
    <s v="Credit Card"/>
    <x v="0"/>
  </r>
  <r>
    <n v="1041"/>
    <x v="88"/>
    <x v="2"/>
    <x v="3"/>
    <x v="762"/>
    <x v="16"/>
    <x v="3"/>
    <n v="3288.39"/>
    <x v="763"/>
    <s v="Credit Card"/>
    <x v="1"/>
  </r>
  <r>
    <n v="1100"/>
    <x v="38"/>
    <x v="4"/>
    <x v="3"/>
    <x v="763"/>
    <x v="24"/>
    <x v="0"/>
    <n v="4991.09"/>
    <x v="764"/>
    <s v="Cash"/>
    <x v="1"/>
  </r>
  <r>
    <n v="1064"/>
    <x v="195"/>
    <x v="0"/>
    <x v="2"/>
    <x v="764"/>
    <x v="47"/>
    <x v="1"/>
    <n v="421.05"/>
    <x v="765"/>
    <s v="Credit Card"/>
    <x v="1"/>
  </r>
  <r>
    <n v="1027"/>
    <x v="299"/>
    <x v="3"/>
    <x v="1"/>
    <x v="765"/>
    <x v="27"/>
    <x v="1"/>
    <n v="1153.9000000000001"/>
    <x v="766"/>
    <s v="Credit Card"/>
    <x v="1"/>
  </r>
  <r>
    <n v="1063"/>
    <x v="235"/>
    <x v="4"/>
    <x v="2"/>
    <x v="766"/>
    <x v="30"/>
    <x v="1"/>
    <n v="2069.08"/>
    <x v="767"/>
    <s v="Bank Transfer"/>
    <x v="1"/>
  </r>
  <r>
    <n v="1017"/>
    <x v="125"/>
    <x v="1"/>
    <x v="0"/>
    <x v="767"/>
    <x v="18"/>
    <x v="3"/>
    <n v="1771.52"/>
    <x v="768"/>
    <s v="Bank Transfer"/>
    <x v="0"/>
  </r>
  <r>
    <n v="1073"/>
    <x v="317"/>
    <x v="3"/>
    <x v="1"/>
    <x v="768"/>
    <x v="11"/>
    <x v="1"/>
    <n v="157.15"/>
    <x v="769"/>
    <s v="Cash"/>
    <x v="1"/>
  </r>
  <r>
    <n v="1033"/>
    <x v="318"/>
    <x v="0"/>
    <x v="3"/>
    <x v="769"/>
    <x v="28"/>
    <x v="1"/>
    <n v="504.3"/>
    <x v="770"/>
    <s v="Cash"/>
    <x v="1"/>
  </r>
  <r>
    <n v="1084"/>
    <x v="50"/>
    <x v="0"/>
    <x v="2"/>
    <x v="770"/>
    <x v="13"/>
    <x v="0"/>
    <n v="3420.72"/>
    <x v="771"/>
    <s v="Cash"/>
    <x v="0"/>
  </r>
  <r>
    <n v="1077"/>
    <x v="244"/>
    <x v="2"/>
    <x v="3"/>
    <x v="771"/>
    <x v="8"/>
    <x v="1"/>
    <n v="4402.66"/>
    <x v="772"/>
    <s v="Bank Transfer"/>
    <x v="1"/>
  </r>
  <r>
    <n v="1092"/>
    <x v="319"/>
    <x v="3"/>
    <x v="3"/>
    <x v="772"/>
    <x v="19"/>
    <x v="3"/>
    <n v="2595.42"/>
    <x v="773"/>
    <s v="Credit Card"/>
    <x v="0"/>
  </r>
  <r>
    <n v="1029"/>
    <x v="172"/>
    <x v="2"/>
    <x v="0"/>
    <x v="773"/>
    <x v="17"/>
    <x v="3"/>
    <n v="2719"/>
    <x v="774"/>
    <s v="Bank Transfer"/>
    <x v="1"/>
  </r>
  <r>
    <n v="1013"/>
    <x v="267"/>
    <x v="4"/>
    <x v="1"/>
    <x v="774"/>
    <x v="22"/>
    <x v="3"/>
    <n v="1312.71"/>
    <x v="775"/>
    <s v="Bank Transfer"/>
    <x v="1"/>
  </r>
  <r>
    <n v="1046"/>
    <x v="251"/>
    <x v="3"/>
    <x v="0"/>
    <x v="775"/>
    <x v="1"/>
    <x v="0"/>
    <n v="3850.99"/>
    <x v="776"/>
    <s v="Credit Card"/>
    <x v="0"/>
  </r>
  <r>
    <n v="1035"/>
    <x v="320"/>
    <x v="4"/>
    <x v="0"/>
    <x v="776"/>
    <x v="40"/>
    <x v="0"/>
    <n v="3771.38"/>
    <x v="777"/>
    <s v="Credit Card"/>
    <x v="1"/>
  </r>
  <r>
    <n v="1006"/>
    <x v="211"/>
    <x v="2"/>
    <x v="0"/>
    <x v="777"/>
    <x v="12"/>
    <x v="2"/>
    <n v="2962.41"/>
    <x v="778"/>
    <s v="Cash"/>
    <x v="1"/>
  </r>
  <r>
    <n v="1082"/>
    <x v="150"/>
    <x v="3"/>
    <x v="3"/>
    <x v="778"/>
    <x v="7"/>
    <x v="1"/>
    <n v="1102.69"/>
    <x v="779"/>
    <s v="Credit Card"/>
    <x v="0"/>
  </r>
  <r>
    <n v="1069"/>
    <x v="321"/>
    <x v="2"/>
    <x v="0"/>
    <x v="779"/>
    <x v="18"/>
    <x v="0"/>
    <n v="530.24"/>
    <x v="780"/>
    <s v="Credit Card"/>
    <x v="0"/>
  </r>
  <r>
    <n v="1047"/>
    <x v="93"/>
    <x v="3"/>
    <x v="0"/>
    <x v="780"/>
    <x v="5"/>
    <x v="3"/>
    <n v="367.98"/>
    <x v="781"/>
    <s v="Credit Card"/>
    <x v="1"/>
  </r>
  <r>
    <n v="1025"/>
    <x v="319"/>
    <x v="2"/>
    <x v="1"/>
    <x v="781"/>
    <x v="11"/>
    <x v="3"/>
    <n v="2983.85"/>
    <x v="782"/>
    <s v="Credit Card"/>
    <x v="0"/>
  </r>
  <r>
    <n v="1066"/>
    <x v="193"/>
    <x v="0"/>
    <x v="1"/>
    <x v="782"/>
    <x v="4"/>
    <x v="0"/>
    <n v="4133.92"/>
    <x v="783"/>
    <s v="Cash"/>
    <x v="1"/>
  </r>
  <r>
    <n v="1010"/>
    <x v="178"/>
    <x v="2"/>
    <x v="0"/>
    <x v="783"/>
    <x v="46"/>
    <x v="0"/>
    <n v="4298.74"/>
    <x v="784"/>
    <s v="Cash"/>
    <x v="0"/>
  </r>
  <r>
    <n v="1056"/>
    <x v="322"/>
    <x v="0"/>
    <x v="1"/>
    <x v="784"/>
    <x v="22"/>
    <x v="0"/>
    <n v="2344.9299999999998"/>
    <x v="785"/>
    <s v="Credit Card"/>
    <x v="1"/>
  </r>
  <r>
    <n v="1030"/>
    <x v="254"/>
    <x v="2"/>
    <x v="1"/>
    <x v="785"/>
    <x v="47"/>
    <x v="2"/>
    <n v="3932.14"/>
    <x v="786"/>
    <s v="Credit Card"/>
    <x v="0"/>
  </r>
  <r>
    <n v="1005"/>
    <x v="175"/>
    <x v="3"/>
    <x v="0"/>
    <x v="786"/>
    <x v="14"/>
    <x v="3"/>
    <n v="4737.0600000000004"/>
    <x v="787"/>
    <s v="Cash"/>
    <x v="0"/>
  </r>
  <r>
    <n v="1033"/>
    <x v="257"/>
    <x v="3"/>
    <x v="3"/>
    <x v="787"/>
    <x v="6"/>
    <x v="2"/>
    <n v="1412.09"/>
    <x v="788"/>
    <s v="Cash"/>
    <x v="0"/>
  </r>
  <r>
    <n v="1065"/>
    <x v="212"/>
    <x v="3"/>
    <x v="0"/>
    <x v="788"/>
    <x v="32"/>
    <x v="2"/>
    <n v="2019.9"/>
    <x v="789"/>
    <s v="Credit Card"/>
    <x v="0"/>
  </r>
  <r>
    <n v="1018"/>
    <x v="157"/>
    <x v="1"/>
    <x v="1"/>
    <x v="789"/>
    <x v="44"/>
    <x v="1"/>
    <n v="4660.82"/>
    <x v="790"/>
    <s v="Bank Transfer"/>
    <x v="0"/>
  </r>
  <r>
    <n v="1096"/>
    <x v="323"/>
    <x v="4"/>
    <x v="3"/>
    <x v="790"/>
    <x v="17"/>
    <x v="3"/>
    <n v="1724.24"/>
    <x v="791"/>
    <s v="Cash"/>
    <x v="0"/>
  </r>
  <r>
    <n v="1049"/>
    <x v="39"/>
    <x v="3"/>
    <x v="2"/>
    <x v="791"/>
    <x v="33"/>
    <x v="3"/>
    <n v="4573.6899999999996"/>
    <x v="792"/>
    <s v="Cash"/>
    <x v="0"/>
  </r>
  <r>
    <n v="1011"/>
    <x v="324"/>
    <x v="0"/>
    <x v="3"/>
    <x v="792"/>
    <x v="39"/>
    <x v="0"/>
    <n v="4906.17"/>
    <x v="793"/>
    <s v="Cash"/>
    <x v="0"/>
  </r>
  <r>
    <n v="1085"/>
    <x v="325"/>
    <x v="3"/>
    <x v="1"/>
    <x v="793"/>
    <x v="27"/>
    <x v="0"/>
    <n v="3325.96"/>
    <x v="794"/>
    <s v="Credit Card"/>
    <x v="0"/>
  </r>
  <r>
    <n v="1026"/>
    <x v="45"/>
    <x v="1"/>
    <x v="3"/>
    <x v="794"/>
    <x v="47"/>
    <x v="1"/>
    <n v="4093.61"/>
    <x v="795"/>
    <s v="Credit Card"/>
    <x v="1"/>
  </r>
  <r>
    <n v="1063"/>
    <x v="11"/>
    <x v="0"/>
    <x v="0"/>
    <x v="795"/>
    <x v="30"/>
    <x v="2"/>
    <n v="3760.25"/>
    <x v="796"/>
    <s v="Cash"/>
    <x v="0"/>
  </r>
  <r>
    <n v="1089"/>
    <x v="178"/>
    <x v="1"/>
    <x v="2"/>
    <x v="796"/>
    <x v="44"/>
    <x v="0"/>
    <n v="3512.69"/>
    <x v="797"/>
    <s v="Credit Card"/>
    <x v="1"/>
  </r>
  <r>
    <n v="1086"/>
    <x v="21"/>
    <x v="0"/>
    <x v="2"/>
    <x v="797"/>
    <x v="29"/>
    <x v="0"/>
    <n v="1569.31"/>
    <x v="798"/>
    <s v="Credit Card"/>
    <x v="0"/>
  </r>
  <r>
    <n v="1059"/>
    <x v="292"/>
    <x v="2"/>
    <x v="2"/>
    <x v="798"/>
    <x v="21"/>
    <x v="3"/>
    <n v="332.62"/>
    <x v="799"/>
    <s v="Cash"/>
    <x v="1"/>
  </r>
  <r>
    <n v="1027"/>
    <x v="118"/>
    <x v="4"/>
    <x v="1"/>
    <x v="799"/>
    <x v="46"/>
    <x v="3"/>
    <n v="1748.11"/>
    <x v="800"/>
    <s v="Credit Card"/>
    <x v="1"/>
  </r>
  <r>
    <n v="1049"/>
    <x v="326"/>
    <x v="4"/>
    <x v="1"/>
    <x v="800"/>
    <x v="16"/>
    <x v="0"/>
    <n v="3351.33"/>
    <x v="801"/>
    <s v="Bank Transfer"/>
    <x v="0"/>
  </r>
  <r>
    <n v="1077"/>
    <x v="178"/>
    <x v="1"/>
    <x v="2"/>
    <x v="801"/>
    <x v="18"/>
    <x v="3"/>
    <n v="557.52"/>
    <x v="802"/>
    <s v="Credit Card"/>
    <x v="0"/>
  </r>
  <r>
    <n v="1033"/>
    <x v="121"/>
    <x v="4"/>
    <x v="3"/>
    <x v="802"/>
    <x v="5"/>
    <x v="1"/>
    <n v="108.99"/>
    <x v="803"/>
    <s v="Credit Card"/>
    <x v="1"/>
  </r>
  <r>
    <n v="1098"/>
    <x v="37"/>
    <x v="1"/>
    <x v="2"/>
    <x v="803"/>
    <x v="23"/>
    <x v="0"/>
    <n v="741.48"/>
    <x v="804"/>
    <s v="Cash"/>
    <x v="1"/>
  </r>
  <r>
    <n v="1099"/>
    <x v="108"/>
    <x v="1"/>
    <x v="3"/>
    <x v="804"/>
    <x v="3"/>
    <x v="3"/>
    <n v="3592.89"/>
    <x v="805"/>
    <s v="Cash"/>
    <x v="0"/>
  </r>
  <r>
    <n v="1001"/>
    <x v="75"/>
    <x v="1"/>
    <x v="3"/>
    <x v="805"/>
    <x v="20"/>
    <x v="1"/>
    <n v="4865.33"/>
    <x v="806"/>
    <s v="Bank Transfer"/>
    <x v="0"/>
  </r>
  <r>
    <n v="1021"/>
    <x v="193"/>
    <x v="4"/>
    <x v="1"/>
    <x v="806"/>
    <x v="38"/>
    <x v="3"/>
    <n v="4916.17"/>
    <x v="807"/>
    <s v="Credit Card"/>
    <x v="0"/>
  </r>
  <r>
    <n v="1055"/>
    <x v="76"/>
    <x v="1"/>
    <x v="3"/>
    <x v="807"/>
    <x v="23"/>
    <x v="3"/>
    <n v="2495.1999999999998"/>
    <x v="808"/>
    <s v="Bank Transfer"/>
    <x v="1"/>
  </r>
  <r>
    <n v="1006"/>
    <x v="320"/>
    <x v="4"/>
    <x v="2"/>
    <x v="808"/>
    <x v="6"/>
    <x v="3"/>
    <n v="4353.29"/>
    <x v="809"/>
    <s v="Bank Transfer"/>
    <x v="0"/>
  </r>
  <r>
    <n v="1092"/>
    <x v="243"/>
    <x v="1"/>
    <x v="1"/>
    <x v="809"/>
    <x v="42"/>
    <x v="0"/>
    <n v="3697.29"/>
    <x v="810"/>
    <s v="Cash"/>
    <x v="0"/>
  </r>
  <r>
    <n v="1081"/>
    <x v="222"/>
    <x v="3"/>
    <x v="0"/>
    <x v="810"/>
    <x v="25"/>
    <x v="2"/>
    <n v="2530.15"/>
    <x v="811"/>
    <s v="Credit Card"/>
    <x v="0"/>
  </r>
  <r>
    <n v="1069"/>
    <x v="181"/>
    <x v="1"/>
    <x v="0"/>
    <x v="811"/>
    <x v="22"/>
    <x v="3"/>
    <n v="2885.16"/>
    <x v="812"/>
    <s v="Cash"/>
    <x v="0"/>
  </r>
  <r>
    <n v="1095"/>
    <x v="3"/>
    <x v="0"/>
    <x v="1"/>
    <x v="812"/>
    <x v="46"/>
    <x v="1"/>
    <n v="729.27"/>
    <x v="813"/>
    <s v="Bank Transfer"/>
    <x v="0"/>
  </r>
  <r>
    <n v="1005"/>
    <x v="154"/>
    <x v="1"/>
    <x v="2"/>
    <x v="813"/>
    <x v="7"/>
    <x v="0"/>
    <n v="4691.42"/>
    <x v="814"/>
    <s v="Bank Transfer"/>
    <x v="1"/>
  </r>
  <r>
    <n v="1003"/>
    <x v="327"/>
    <x v="2"/>
    <x v="0"/>
    <x v="814"/>
    <x v="45"/>
    <x v="0"/>
    <n v="1792.05"/>
    <x v="815"/>
    <s v="Cash"/>
    <x v="1"/>
  </r>
  <r>
    <n v="1053"/>
    <x v="131"/>
    <x v="1"/>
    <x v="0"/>
    <x v="815"/>
    <x v="21"/>
    <x v="1"/>
    <n v="2258.44"/>
    <x v="816"/>
    <s v="Cash"/>
    <x v="0"/>
  </r>
  <r>
    <n v="1023"/>
    <x v="296"/>
    <x v="0"/>
    <x v="3"/>
    <x v="816"/>
    <x v="20"/>
    <x v="3"/>
    <n v="3374.72"/>
    <x v="817"/>
    <s v="Cash"/>
    <x v="0"/>
  </r>
  <r>
    <n v="1053"/>
    <x v="76"/>
    <x v="0"/>
    <x v="3"/>
    <x v="817"/>
    <x v="21"/>
    <x v="2"/>
    <n v="1702.82"/>
    <x v="818"/>
    <s v="Cash"/>
    <x v="1"/>
  </r>
  <r>
    <n v="1037"/>
    <x v="291"/>
    <x v="4"/>
    <x v="2"/>
    <x v="818"/>
    <x v="1"/>
    <x v="3"/>
    <n v="1308.58"/>
    <x v="819"/>
    <s v="Cash"/>
    <x v="0"/>
  </r>
  <r>
    <n v="1074"/>
    <x v="216"/>
    <x v="3"/>
    <x v="1"/>
    <x v="819"/>
    <x v="39"/>
    <x v="1"/>
    <n v="3173.69"/>
    <x v="820"/>
    <s v="Bank Transfer"/>
    <x v="1"/>
  </r>
  <r>
    <n v="1074"/>
    <x v="160"/>
    <x v="1"/>
    <x v="2"/>
    <x v="820"/>
    <x v="6"/>
    <x v="0"/>
    <n v="173.67"/>
    <x v="821"/>
    <s v="Cash"/>
    <x v="0"/>
  </r>
  <r>
    <n v="1083"/>
    <x v="325"/>
    <x v="4"/>
    <x v="1"/>
    <x v="821"/>
    <x v="46"/>
    <x v="2"/>
    <n v="3617.59"/>
    <x v="822"/>
    <s v="Credit Card"/>
    <x v="1"/>
  </r>
  <r>
    <n v="1017"/>
    <x v="120"/>
    <x v="3"/>
    <x v="0"/>
    <x v="822"/>
    <x v="32"/>
    <x v="0"/>
    <n v="2594.42"/>
    <x v="823"/>
    <s v="Bank Transfer"/>
    <x v="1"/>
  </r>
  <r>
    <n v="1085"/>
    <x v="201"/>
    <x v="1"/>
    <x v="3"/>
    <x v="823"/>
    <x v="29"/>
    <x v="1"/>
    <n v="3048.48"/>
    <x v="824"/>
    <s v="Bank Transfer"/>
    <x v="0"/>
  </r>
  <r>
    <n v="1078"/>
    <x v="315"/>
    <x v="2"/>
    <x v="2"/>
    <x v="824"/>
    <x v="6"/>
    <x v="3"/>
    <n v="3177.81"/>
    <x v="825"/>
    <s v="Credit Card"/>
    <x v="1"/>
  </r>
  <r>
    <n v="1073"/>
    <x v="10"/>
    <x v="1"/>
    <x v="2"/>
    <x v="825"/>
    <x v="10"/>
    <x v="2"/>
    <n v="2658.9"/>
    <x v="826"/>
    <s v="Credit Card"/>
    <x v="0"/>
  </r>
  <r>
    <n v="1001"/>
    <x v="232"/>
    <x v="0"/>
    <x v="1"/>
    <x v="826"/>
    <x v="19"/>
    <x v="0"/>
    <n v="2933.54"/>
    <x v="827"/>
    <s v="Bank Transfer"/>
    <x v="1"/>
  </r>
  <r>
    <n v="1051"/>
    <x v="227"/>
    <x v="0"/>
    <x v="1"/>
    <x v="827"/>
    <x v="45"/>
    <x v="0"/>
    <n v="3434.75"/>
    <x v="828"/>
    <s v="Cash"/>
    <x v="0"/>
  </r>
  <r>
    <n v="1045"/>
    <x v="267"/>
    <x v="2"/>
    <x v="2"/>
    <x v="828"/>
    <x v="22"/>
    <x v="0"/>
    <n v="3777.94"/>
    <x v="829"/>
    <s v="Bank Transfer"/>
    <x v="0"/>
  </r>
  <r>
    <n v="1077"/>
    <x v="279"/>
    <x v="4"/>
    <x v="1"/>
    <x v="829"/>
    <x v="47"/>
    <x v="3"/>
    <n v="3650.89"/>
    <x v="830"/>
    <s v="Bank Transfer"/>
    <x v="0"/>
  </r>
  <r>
    <n v="1004"/>
    <x v="326"/>
    <x v="3"/>
    <x v="2"/>
    <x v="830"/>
    <x v="30"/>
    <x v="2"/>
    <n v="4354.6000000000004"/>
    <x v="831"/>
    <s v="Credit Card"/>
    <x v="1"/>
  </r>
  <r>
    <n v="1062"/>
    <x v="328"/>
    <x v="1"/>
    <x v="2"/>
    <x v="831"/>
    <x v="16"/>
    <x v="3"/>
    <n v="987.74"/>
    <x v="832"/>
    <s v="Bank Transfer"/>
    <x v="0"/>
  </r>
  <r>
    <n v="1065"/>
    <x v="243"/>
    <x v="0"/>
    <x v="2"/>
    <x v="832"/>
    <x v="26"/>
    <x v="3"/>
    <n v="2035.68"/>
    <x v="833"/>
    <s v="Cash"/>
    <x v="0"/>
  </r>
  <r>
    <n v="1032"/>
    <x v="288"/>
    <x v="4"/>
    <x v="0"/>
    <x v="833"/>
    <x v="46"/>
    <x v="3"/>
    <n v="4741.59"/>
    <x v="834"/>
    <s v="Credit Card"/>
    <x v="0"/>
  </r>
  <r>
    <n v="1034"/>
    <x v="88"/>
    <x v="2"/>
    <x v="1"/>
    <x v="834"/>
    <x v="27"/>
    <x v="1"/>
    <n v="2013.12"/>
    <x v="835"/>
    <s v="Bank Transfer"/>
    <x v="1"/>
  </r>
  <r>
    <n v="1092"/>
    <x v="116"/>
    <x v="0"/>
    <x v="3"/>
    <x v="835"/>
    <x v="46"/>
    <x v="1"/>
    <n v="668.11"/>
    <x v="836"/>
    <s v="Bank Transfer"/>
    <x v="0"/>
  </r>
  <r>
    <n v="1095"/>
    <x v="329"/>
    <x v="2"/>
    <x v="3"/>
    <x v="836"/>
    <x v="14"/>
    <x v="1"/>
    <n v="2650.95"/>
    <x v="837"/>
    <s v="Cash"/>
    <x v="1"/>
  </r>
  <r>
    <n v="1072"/>
    <x v="117"/>
    <x v="1"/>
    <x v="1"/>
    <x v="837"/>
    <x v="3"/>
    <x v="2"/>
    <n v="591.98"/>
    <x v="838"/>
    <s v="Bank Transfer"/>
    <x v="1"/>
  </r>
  <r>
    <n v="1039"/>
    <x v="203"/>
    <x v="3"/>
    <x v="2"/>
    <x v="838"/>
    <x v="41"/>
    <x v="3"/>
    <n v="1054.1199999999999"/>
    <x v="839"/>
    <s v="Bank Transfer"/>
    <x v="1"/>
  </r>
  <r>
    <n v="1026"/>
    <x v="324"/>
    <x v="0"/>
    <x v="3"/>
    <x v="839"/>
    <x v="12"/>
    <x v="3"/>
    <n v="4991.68"/>
    <x v="840"/>
    <s v="Bank Transfer"/>
    <x v="0"/>
  </r>
  <r>
    <n v="1034"/>
    <x v="243"/>
    <x v="0"/>
    <x v="3"/>
    <x v="840"/>
    <x v="34"/>
    <x v="1"/>
    <n v="2729.75"/>
    <x v="841"/>
    <s v="Bank Transfer"/>
    <x v="0"/>
  </r>
  <r>
    <n v="1054"/>
    <x v="330"/>
    <x v="1"/>
    <x v="1"/>
    <x v="841"/>
    <x v="30"/>
    <x v="3"/>
    <n v="1456.09"/>
    <x v="842"/>
    <s v="Cash"/>
    <x v="1"/>
  </r>
  <r>
    <n v="1003"/>
    <x v="331"/>
    <x v="4"/>
    <x v="3"/>
    <x v="842"/>
    <x v="27"/>
    <x v="3"/>
    <n v="4974.1400000000003"/>
    <x v="843"/>
    <s v="Bank Transfer"/>
    <x v="0"/>
  </r>
  <r>
    <n v="1050"/>
    <x v="272"/>
    <x v="3"/>
    <x v="2"/>
    <x v="843"/>
    <x v="8"/>
    <x v="0"/>
    <n v="4834.47"/>
    <x v="844"/>
    <s v="Bank Transfer"/>
    <x v="0"/>
  </r>
  <r>
    <n v="1012"/>
    <x v="89"/>
    <x v="0"/>
    <x v="1"/>
    <x v="844"/>
    <x v="4"/>
    <x v="3"/>
    <n v="2231.66"/>
    <x v="845"/>
    <s v="Bank Transfer"/>
    <x v="1"/>
  </r>
  <r>
    <n v="1065"/>
    <x v="253"/>
    <x v="3"/>
    <x v="2"/>
    <x v="845"/>
    <x v="4"/>
    <x v="0"/>
    <n v="1339"/>
    <x v="846"/>
    <s v="Credit Card"/>
    <x v="1"/>
  </r>
  <r>
    <n v="1054"/>
    <x v="332"/>
    <x v="0"/>
    <x v="3"/>
    <x v="846"/>
    <x v="33"/>
    <x v="3"/>
    <n v="4200.08"/>
    <x v="847"/>
    <s v="Cash"/>
    <x v="0"/>
  </r>
  <r>
    <n v="1005"/>
    <x v="94"/>
    <x v="3"/>
    <x v="3"/>
    <x v="847"/>
    <x v="40"/>
    <x v="2"/>
    <n v="3592.32"/>
    <x v="848"/>
    <s v="Credit Card"/>
    <x v="1"/>
  </r>
  <r>
    <n v="1094"/>
    <x v="248"/>
    <x v="2"/>
    <x v="2"/>
    <x v="848"/>
    <x v="20"/>
    <x v="1"/>
    <n v="3450.36"/>
    <x v="849"/>
    <s v="Credit Card"/>
    <x v="0"/>
  </r>
  <r>
    <n v="1094"/>
    <x v="120"/>
    <x v="0"/>
    <x v="0"/>
    <x v="849"/>
    <x v="27"/>
    <x v="0"/>
    <n v="4470.91"/>
    <x v="850"/>
    <s v="Cash"/>
    <x v="1"/>
  </r>
  <r>
    <n v="1057"/>
    <x v="115"/>
    <x v="3"/>
    <x v="3"/>
    <x v="850"/>
    <x v="33"/>
    <x v="1"/>
    <n v="3462.61"/>
    <x v="851"/>
    <s v="Credit Card"/>
    <x v="0"/>
  </r>
  <r>
    <n v="1017"/>
    <x v="195"/>
    <x v="4"/>
    <x v="0"/>
    <x v="851"/>
    <x v="8"/>
    <x v="0"/>
    <n v="1454.8"/>
    <x v="852"/>
    <s v="Credit Card"/>
    <x v="0"/>
  </r>
  <r>
    <n v="1047"/>
    <x v="312"/>
    <x v="2"/>
    <x v="3"/>
    <x v="852"/>
    <x v="12"/>
    <x v="0"/>
    <n v="3484.62"/>
    <x v="853"/>
    <s v="Credit Card"/>
    <x v="1"/>
  </r>
  <r>
    <n v="1023"/>
    <x v="80"/>
    <x v="2"/>
    <x v="0"/>
    <x v="853"/>
    <x v="29"/>
    <x v="0"/>
    <n v="1563.78"/>
    <x v="854"/>
    <s v="Cash"/>
    <x v="0"/>
  </r>
  <r>
    <n v="1079"/>
    <x v="3"/>
    <x v="4"/>
    <x v="0"/>
    <x v="854"/>
    <x v="29"/>
    <x v="2"/>
    <n v="3808.23"/>
    <x v="855"/>
    <s v="Bank Transfer"/>
    <x v="0"/>
  </r>
  <r>
    <n v="1085"/>
    <x v="283"/>
    <x v="3"/>
    <x v="0"/>
    <x v="855"/>
    <x v="31"/>
    <x v="3"/>
    <n v="3117.75"/>
    <x v="856"/>
    <s v="Cash"/>
    <x v="1"/>
  </r>
  <r>
    <n v="1014"/>
    <x v="132"/>
    <x v="1"/>
    <x v="2"/>
    <x v="856"/>
    <x v="42"/>
    <x v="0"/>
    <n v="433.19"/>
    <x v="857"/>
    <s v="Cash"/>
    <x v="0"/>
  </r>
  <r>
    <n v="1066"/>
    <x v="231"/>
    <x v="4"/>
    <x v="0"/>
    <x v="857"/>
    <x v="10"/>
    <x v="2"/>
    <n v="2588.54"/>
    <x v="858"/>
    <s v="Cash"/>
    <x v="0"/>
  </r>
  <r>
    <n v="1075"/>
    <x v="196"/>
    <x v="3"/>
    <x v="0"/>
    <x v="858"/>
    <x v="42"/>
    <x v="0"/>
    <n v="1749.34"/>
    <x v="859"/>
    <s v="Credit Card"/>
    <x v="0"/>
  </r>
  <r>
    <n v="1051"/>
    <x v="78"/>
    <x v="4"/>
    <x v="0"/>
    <x v="859"/>
    <x v="18"/>
    <x v="3"/>
    <n v="1676.42"/>
    <x v="860"/>
    <s v="Bank Transfer"/>
    <x v="1"/>
  </r>
  <r>
    <n v="1038"/>
    <x v="159"/>
    <x v="4"/>
    <x v="3"/>
    <x v="860"/>
    <x v="8"/>
    <x v="0"/>
    <n v="3031.17"/>
    <x v="861"/>
    <s v="Cash"/>
    <x v="1"/>
  </r>
  <r>
    <n v="1064"/>
    <x v="167"/>
    <x v="0"/>
    <x v="0"/>
    <x v="861"/>
    <x v="4"/>
    <x v="2"/>
    <n v="1645.51"/>
    <x v="862"/>
    <s v="Cash"/>
    <x v="1"/>
  </r>
  <r>
    <n v="1098"/>
    <x v="176"/>
    <x v="3"/>
    <x v="3"/>
    <x v="862"/>
    <x v="40"/>
    <x v="3"/>
    <n v="3895.62"/>
    <x v="863"/>
    <s v="Bank Transfer"/>
    <x v="1"/>
  </r>
  <r>
    <n v="1038"/>
    <x v="288"/>
    <x v="1"/>
    <x v="0"/>
    <x v="863"/>
    <x v="14"/>
    <x v="2"/>
    <n v="400.42"/>
    <x v="864"/>
    <s v="Bank Transfer"/>
    <x v="1"/>
  </r>
  <r>
    <n v="1050"/>
    <x v="249"/>
    <x v="0"/>
    <x v="0"/>
    <x v="864"/>
    <x v="46"/>
    <x v="3"/>
    <n v="3318.92"/>
    <x v="865"/>
    <s v="Bank Transfer"/>
    <x v="0"/>
  </r>
  <r>
    <n v="1098"/>
    <x v="333"/>
    <x v="4"/>
    <x v="2"/>
    <x v="865"/>
    <x v="12"/>
    <x v="3"/>
    <n v="4055.51"/>
    <x v="866"/>
    <s v="Credit Card"/>
    <x v="0"/>
  </r>
  <r>
    <n v="1082"/>
    <x v="230"/>
    <x v="4"/>
    <x v="3"/>
    <x v="866"/>
    <x v="10"/>
    <x v="1"/>
    <n v="3380.52"/>
    <x v="867"/>
    <s v="Bank Transfer"/>
    <x v="0"/>
  </r>
  <r>
    <n v="1030"/>
    <x v="288"/>
    <x v="4"/>
    <x v="0"/>
    <x v="867"/>
    <x v="3"/>
    <x v="1"/>
    <n v="2511.2800000000002"/>
    <x v="868"/>
    <s v="Credit Card"/>
    <x v="1"/>
  </r>
  <r>
    <n v="1079"/>
    <x v="17"/>
    <x v="3"/>
    <x v="3"/>
    <x v="868"/>
    <x v="26"/>
    <x v="1"/>
    <n v="4754.0200000000004"/>
    <x v="869"/>
    <s v="Cash"/>
    <x v="0"/>
  </r>
  <r>
    <n v="1091"/>
    <x v="279"/>
    <x v="3"/>
    <x v="3"/>
    <x v="869"/>
    <x v="13"/>
    <x v="3"/>
    <n v="1534.7"/>
    <x v="870"/>
    <s v="Credit Card"/>
    <x v="1"/>
  </r>
  <r>
    <n v="1051"/>
    <x v="10"/>
    <x v="0"/>
    <x v="1"/>
    <x v="870"/>
    <x v="17"/>
    <x v="0"/>
    <n v="144.88"/>
    <x v="871"/>
    <s v="Bank Transfer"/>
    <x v="0"/>
  </r>
  <r>
    <n v="1063"/>
    <x v="293"/>
    <x v="1"/>
    <x v="2"/>
    <x v="871"/>
    <x v="28"/>
    <x v="2"/>
    <n v="2188.35"/>
    <x v="872"/>
    <s v="Credit Card"/>
    <x v="1"/>
  </r>
  <r>
    <n v="1098"/>
    <x v="200"/>
    <x v="0"/>
    <x v="2"/>
    <x v="872"/>
    <x v="23"/>
    <x v="2"/>
    <n v="213.41"/>
    <x v="873"/>
    <s v="Bank Transfer"/>
    <x v="0"/>
  </r>
  <r>
    <n v="1052"/>
    <x v="25"/>
    <x v="2"/>
    <x v="2"/>
    <x v="873"/>
    <x v="42"/>
    <x v="2"/>
    <n v="4771.99"/>
    <x v="874"/>
    <s v="Credit Card"/>
    <x v="0"/>
  </r>
  <r>
    <n v="1038"/>
    <x v="196"/>
    <x v="4"/>
    <x v="1"/>
    <x v="874"/>
    <x v="31"/>
    <x v="1"/>
    <n v="1089.0899999999999"/>
    <x v="875"/>
    <s v="Cash"/>
    <x v="1"/>
  </r>
  <r>
    <n v="1097"/>
    <x v="188"/>
    <x v="4"/>
    <x v="1"/>
    <x v="875"/>
    <x v="30"/>
    <x v="3"/>
    <n v="3955.19"/>
    <x v="876"/>
    <s v="Credit Card"/>
    <x v="0"/>
  </r>
  <r>
    <n v="1088"/>
    <x v="142"/>
    <x v="4"/>
    <x v="2"/>
    <x v="876"/>
    <x v="23"/>
    <x v="1"/>
    <n v="3884.13"/>
    <x v="877"/>
    <s v="Cash"/>
    <x v="0"/>
  </r>
  <r>
    <n v="1079"/>
    <x v="275"/>
    <x v="0"/>
    <x v="1"/>
    <x v="877"/>
    <x v="34"/>
    <x v="0"/>
    <n v="1127.76"/>
    <x v="878"/>
    <s v="Bank Transfer"/>
    <x v="1"/>
  </r>
  <r>
    <n v="1030"/>
    <x v="262"/>
    <x v="0"/>
    <x v="1"/>
    <x v="878"/>
    <x v="24"/>
    <x v="3"/>
    <n v="3125.07"/>
    <x v="879"/>
    <s v="Cash"/>
    <x v="0"/>
  </r>
  <r>
    <n v="1051"/>
    <x v="15"/>
    <x v="4"/>
    <x v="1"/>
    <x v="879"/>
    <x v="8"/>
    <x v="2"/>
    <n v="287.99"/>
    <x v="880"/>
    <s v="Bank Transfer"/>
    <x v="0"/>
  </r>
  <r>
    <n v="1081"/>
    <x v="265"/>
    <x v="0"/>
    <x v="2"/>
    <x v="880"/>
    <x v="12"/>
    <x v="1"/>
    <n v="2443.69"/>
    <x v="881"/>
    <s v="Bank Transfer"/>
    <x v="1"/>
  </r>
  <r>
    <n v="1005"/>
    <x v="91"/>
    <x v="3"/>
    <x v="2"/>
    <x v="881"/>
    <x v="32"/>
    <x v="1"/>
    <n v="122.5"/>
    <x v="882"/>
    <s v="Cash"/>
    <x v="1"/>
  </r>
  <r>
    <n v="1029"/>
    <x v="159"/>
    <x v="3"/>
    <x v="2"/>
    <x v="882"/>
    <x v="7"/>
    <x v="0"/>
    <n v="4609.66"/>
    <x v="883"/>
    <s v="Cash"/>
    <x v="1"/>
  </r>
  <r>
    <n v="1004"/>
    <x v="109"/>
    <x v="0"/>
    <x v="1"/>
    <x v="883"/>
    <x v="34"/>
    <x v="0"/>
    <n v="4881.63"/>
    <x v="884"/>
    <s v="Credit Card"/>
    <x v="1"/>
  </r>
  <r>
    <n v="1010"/>
    <x v="210"/>
    <x v="4"/>
    <x v="2"/>
    <x v="884"/>
    <x v="37"/>
    <x v="1"/>
    <n v="1150.3"/>
    <x v="885"/>
    <s v="Credit Card"/>
    <x v="1"/>
  </r>
  <r>
    <n v="1056"/>
    <x v="241"/>
    <x v="0"/>
    <x v="1"/>
    <x v="885"/>
    <x v="31"/>
    <x v="0"/>
    <n v="1080.1199999999999"/>
    <x v="886"/>
    <s v="Cash"/>
    <x v="0"/>
  </r>
  <r>
    <n v="1017"/>
    <x v="85"/>
    <x v="0"/>
    <x v="0"/>
    <x v="886"/>
    <x v="40"/>
    <x v="2"/>
    <n v="3780.91"/>
    <x v="887"/>
    <s v="Cash"/>
    <x v="1"/>
  </r>
  <r>
    <n v="1074"/>
    <x v="248"/>
    <x v="0"/>
    <x v="1"/>
    <x v="887"/>
    <x v="21"/>
    <x v="0"/>
    <n v="1304.23"/>
    <x v="888"/>
    <s v="Cash"/>
    <x v="1"/>
  </r>
  <r>
    <n v="1017"/>
    <x v="294"/>
    <x v="2"/>
    <x v="3"/>
    <x v="888"/>
    <x v="22"/>
    <x v="0"/>
    <n v="4480.63"/>
    <x v="889"/>
    <s v="Cash"/>
    <x v="0"/>
  </r>
  <r>
    <n v="1084"/>
    <x v="270"/>
    <x v="3"/>
    <x v="2"/>
    <x v="889"/>
    <x v="11"/>
    <x v="1"/>
    <n v="2890.95"/>
    <x v="890"/>
    <s v="Bank Transfer"/>
    <x v="0"/>
  </r>
  <r>
    <n v="1088"/>
    <x v="250"/>
    <x v="1"/>
    <x v="2"/>
    <x v="890"/>
    <x v="29"/>
    <x v="1"/>
    <n v="1786.35"/>
    <x v="891"/>
    <s v="Cash"/>
    <x v="0"/>
  </r>
  <r>
    <n v="1069"/>
    <x v="126"/>
    <x v="1"/>
    <x v="3"/>
    <x v="891"/>
    <x v="20"/>
    <x v="3"/>
    <n v="4171.83"/>
    <x v="892"/>
    <s v="Cash"/>
    <x v="0"/>
  </r>
  <r>
    <n v="1034"/>
    <x v="154"/>
    <x v="2"/>
    <x v="1"/>
    <x v="892"/>
    <x v="48"/>
    <x v="3"/>
    <n v="2492.36"/>
    <x v="893"/>
    <s v="Cash"/>
    <x v="0"/>
  </r>
  <r>
    <n v="1006"/>
    <x v="141"/>
    <x v="0"/>
    <x v="0"/>
    <x v="893"/>
    <x v="23"/>
    <x v="1"/>
    <n v="4562.58"/>
    <x v="894"/>
    <s v="Cash"/>
    <x v="1"/>
  </r>
  <r>
    <n v="1053"/>
    <x v="67"/>
    <x v="2"/>
    <x v="3"/>
    <x v="894"/>
    <x v="3"/>
    <x v="0"/>
    <n v="4643.67"/>
    <x v="895"/>
    <s v="Bank Transfer"/>
    <x v="0"/>
  </r>
  <r>
    <n v="1066"/>
    <x v="166"/>
    <x v="2"/>
    <x v="3"/>
    <x v="895"/>
    <x v="41"/>
    <x v="0"/>
    <n v="868.83"/>
    <x v="896"/>
    <s v="Credit Card"/>
    <x v="1"/>
  </r>
  <r>
    <n v="1077"/>
    <x v="318"/>
    <x v="4"/>
    <x v="1"/>
    <x v="896"/>
    <x v="44"/>
    <x v="3"/>
    <n v="61.5"/>
    <x v="897"/>
    <s v="Credit Card"/>
    <x v="0"/>
  </r>
  <r>
    <n v="1043"/>
    <x v="111"/>
    <x v="3"/>
    <x v="2"/>
    <x v="897"/>
    <x v="26"/>
    <x v="3"/>
    <n v="4920.46"/>
    <x v="898"/>
    <s v="Credit Card"/>
    <x v="1"/>
  </r>
  <r>
    <n v="1075"/>
    <x v="219"/>
    <x v="1"/>
    <x v="1"/>
    <x v="898"/>
    <x v="42"/>
    <x v="3"/>
    <n v="4535.38"/>
    <x v="899"/>
    <s v="Credit Card"/>
    <x v="0"/>
  </r>
  <r>
    <n v="1023"/>
    <x v="53"/>
    <x v="0"/>
    <x v="3"/>
    <x v="899"/>
    <x v="34"/>
    <x v="2"/>
    <n v="324.45"/>
    <x v="900"/>
    <s v="Credit Card"/>
    <x v="1"/>
  </r>
  <r>
    <n v="1055"/>
    <x v="15"/>
    <x v="1"/>
    <x v="3"/>
    <x v="900"/>
    <x v="7"/>
    <x v="2"/>
    <n v="4173.5200000000004"/>
    <x v="901"/>
    <s v="Bank Transfer"/>
    <x v="1"/>
  </r>
  <r>
    <n v="1080"/>
    <x v="314"/>
    <x v="1"/>
    <x v="2"/>
    <x v="901"/>
    <x v="26"/>
    <x v="3"/>
    <n v="2316.13"/>
    <x v="902"/>
    <s v="Credit Card"/>
    <x v="1"/>
  </r>
  <r>
    <n v="1095"/>
    <x v="313"/>
    <x v="3"/>
    <x v="2"/>
    <x v="902"/>
    <x v="8"/>
    <x v="0"/>
    <n v="1331.86"/>
    <x v="903"/>
    <s v="Bank Transfer"/>
    <x v="1"/>
  </r>
  <r>
    <n v="1075"/>
    <x v="334"/>
    <x v="1"/>
    <x v="2"/>
    <x v="903"/>
    <x v="35"/>
    <x v="3"/>
    <n v="4399.8"/>
    <x v="904"/>
    <s v="Bank Transfer"/>
    <x v="1"/>
  </r>
  <r>
    <n v="1016"/>
    <x v="168"/>
    <x v="1"/>
    <x v="1"/>
    <x v="904"/>
    <x v="7"/>
    <x v="2"/>
    <n v="1023.5"/>
    <x v="905"/>
    <s v="Credit Card"/>
    <x v="1"/>
  </r>
  <r>
    <n v="1008"/>
    <x v="274"/>
    <x v="2"/>
    <x v="2"/>
    <x v="905"/>
    <x v="38"/>
    <x v="0"/>
    <n v="4739.13"/>
    <x v="906"/>
    <s v="Credit Card"/>
    <x v="1"/>
  </r>
  <r>
    <n v="1004"/>
    <x v="43"/>
    <x v="3"/>
    <x v="3"/>
    <x v="906"/>
    <x v="25"/>
    <x v="2"/>
    <n v="1067.83"/>
    <x v="907"/>
    <s v="Credit Card"/>
    <x v="1"/>
  </r>
  <r>
    <n v="1004"/>
    <x v="196"/>
    <x v="4"/>
    <x v="3"/>
    <x v="907"/>
    <x v="4"/>
    <x v="0"/>
    <n v="3087.73"/>
    <x v="908"/>
    <s v="Cash"/>
    <x v="1"/>
  </r>
  <r>
    <n v="1056"/>
    <x v="197"/>
    <x v="0"/>
    <x v="0"/>
    <x v="908"/>
    <x v="44"/>
    <x v="2"/>
    <n v="1154.28"/>
    <x v="909"/>
    <s v="Bank Transfer"/>
    <x v="1"/>
  </r>
  <r>
    <n v="1025"/>
    <x v="59"/>
    <x v="1"/>
    <x v="1"/>
    <x v="909"/>
    <x v="41"/>
    <x v="0"/>
    <n v="2751.06"/>
    <x v="910"/>
    <s v="Credit Card"/>
    <x v="0"/>
  </r>
  <r>
    <n v="1067"/>
    <x v="330"/>
    <x v="0"/>
    <x v="0"/>
    <x v="910"/>
    <x v="23"/>
    <x v="0"/>
    <n v="3435.68"/>
    <x v="911"/>
    <s v="Cash"/>
    <x v="1"/>
  </r>
  <r>
    <n v="1096"/>
    <x v="247"/>
    <x v="4"/>
    <x v="3"/>
    <x v="911"/>
    <x v="5"/>
    <x v="0"/>
    <n v="991.63"/>
    <x v="912"/>
    <s v="Bank Transfer"/>
    <x v="1"/>
  </r>
  <r>
    <n v="1067"/>
    <x v="114"/>
    <x v="0"/>
    <x v="0"/>
    <x v="912"/>
    <x v="37"/>
    <x v="0"/>
    <n v="2628.38"/>
    <x v="913"/>
    <s v="Cash"/>
    <x v="0"/>
  </r>
  <r>
    <n v="1027"/>
    <x v="153"/>
    <x v="4"/>
    <x v="3"/>
    <x v="913"/>
    <x v="48"/>
    <x v="1"/>
    <n v="2371.85"/>
    <x v="914"/>
    <s v="Cash"/>
    <x v="1"/>
  </r>
  <r>
    <n v="1093"/>
    <x v="82"/>
    <x v="2"/>
    <x v="0"/>
    <x v="914"/>
    <x v="7"/>
    <x v="2"/>
    <n v="401.64"/>
    <x v="915"/>
    <s v="Credit Card"/>
    <x v="1"/>
  </r>
  <r>
    <n v="1032"/>
    <x v="143"/>
    <x v="1"/>
    <x v="2"/>
    <x v="915"/>
    <x v="23"/>
    <x v="2"/>
    <n v="4100.62"/>
    <x v="916"/>
    <s v="Bank Transfer"/>
    <x v="0"/>
  </r>
  <r>
    <n v="1050"/>
    <x v="335"/>
    <x v="4"/>
    <x v="0"/>
    <x v="916"/>
    <x v="40"/>
    <x v="1"/>
    <n v="1711.63"/>
    <x v="917"/>
    <s v="Cash"/>
    <x v="0"/>
  </r>
  <r>
    <n v="1061"/>
    <x v="127"/>
    <x v="0"/>
    <x v="2"/>
    <x v="917"/>
    <x v="36"/>
    <x v="0"/>
    <n v="2894.18"/>
    <x v="918"/>
    <s v="Bank Transfer"/>
    <x v="1"/>
  </r>
  <r>
    <n v="1051"/>
    <x v="231"/>
    <x v="1"/>
    <x v="2"/>
    <x v="918"/>
    <x v="18"/>
    <x v="0"/>
    <n v="2598.1799999999998"/>
    <x v="919"/>
    <s v="Credit Card"/>
    <x v="0"/>
  </r>
  <r>
    <n v="1019"/>
    <x v="291"/>
    <x v="2"/>
    <x v="1"/>
    <x v="919"/>
    <x v="27"/>
    <x v="2"/>
    <n v="2590.64"/>
    <x v="920"/>
    <s v="Bank Transfer"/>
    <x v="1"/>
  </r>
  <r>
    <n v="1021"/>
    <x v="260"/>
    <x v="1"/>
    <x v="2"/>
    <x v="920"/>
    <x v="18"/>
    <x v="1"/>
    <n v="580.75"/>
    <x v="921"/>
    <s v="Cash"/>
    <x v="1"/>
  </r>
  <r>
    <n v="1005"/>
    <x v="197"/>
    <x v="4"/>
    <x v="2"/>
    <x v="921"/>
    <x v="40"/>
    <x v="0"/>
    <n v="2146.2399999999998"/>
    <x v="922"/>
    <s v="Cash"/>
    <x v="1"/>
  </r>
  <r>
    <n v="1082"/>
    <x v="34"/>
    <x v="2"/>
    <x v="0"/>
    <x v="922"/>
    <x v="8"/>
    <x v="0"/>
    <n v="2289.2199999999998"/>
    <x v="923"/>
    <s v="Bank Transfer"/>
    <x v="0"/>
  </r>
  <r>
    <n v="1092"/>
    <x v="241"/>
    <x v="0"/>
    <x v="3"/>
    <x v="923"/>
    <x v="20"/>
    <x v="0"/>
    <n v="3681.53"/>
    <x v="924"/>
    <s v="Cash"/>
    <x v="1"/>
  </r>
  <r>
    <n v="1042"/>
    <x v="322"/>
    <x v="2"/>
    <x v="1"/>
    <x v="924"/>
    <x v="42"/>
    <x v="3"/>
    <n v="4208.09"/>
    <x v="925"/>
    <s v="Cash"/>
    <x v="1"/>
  </r>
  <r>
    <n v="1061"/>
    <x v="2"/>
    <x v="2"/>
    <x v="2"/>
    <x v="925"/>
    <x v="44"/>
    <x v="1"/>
    <n v="2747.66"/>
    <x v="926"/>
    <s v="Cash"/>
    <x v="0"/>
  </r>
  <r>
    <n v="1022"/>
    <x v="90"/>
    <x v="3"/>
    <x v="1"/>
    <x v="926"/>
    <x v="6"/>
    <x v="0"/>
    <n v="479.58"/>
    <x v="927"/>
    <s v="Credit Card"/>
    <x v="1"/>
  </r>
  <r>
    <n v="1021"/>
    <x v="68"/>
    <x v="2"/>
    <x v="0"/>
    <x v="927"/>
    <x v="12"/>
    <x v="3"/>
    <n v="1222.4000000000001"/>
    <x v="928"/>
    <s v="Credit Card"/>
    <x v="1"/>
  </r>
  <r>
    <n v="1070"/>
    <x v="336"/>
    <x v="2"/>
    <x v="2"/>
    <x v="928"/>
    <x v="19"/>
    <x v="1"/>
    <n v="866.42"/>
    <x v="929"/>
    <s v="Cash"/>
    <x v="1"/>
  </r>
  <r>
    <n v="1001"/>
    <x v="24"/>
    <x v="1"/>
    <x v="0"/>
    <x v="929"/>
    <x v="43"/>
    <x v="0"/>
    <n v="666.84"/>
    <x v="930"/>
    <s v="Bank Transfer"/>
    <x v="1"/>
  </r>
  <r>
    <n v="1005"/>
    <x v="76"/>
    <x v="0"/>
    <x v="1"/>
    <x v="930"/>
    <x v="28"/>
    <x v="2"/>
    <n v="1861.2"/>
    <x v="931"/>
    <s v="Credit Card"/>
    <x v="1"/>
  </r>
  <r>
    <n v="1012"/>
    <x v="24"/>
    <x v="1"/>
    <x v="0"/>
    <x v="931"/>
    <x v="28"/>
    <x v="3"/>
    <n v="1185.5"/>
    <x v="932"/>
    <s v="Bank Transfer"/>
    <x v="1"/>
  </r>
  <r>
    <n v="1090"/>
    <x v="1"/>
    <x v="1"/>
    <x v="1"/>
    <x v="932"/>
    <x v="22"/>
    <x v="3"/>
    <n v="1130.5999999999999"/>
    <x v="933"/>
    <s v="Cash"/>
    <x v="0"/>
  </r>
  <r>
    <n v="1046"/>
    <x v="175"/>
    <x v="4"/>
    <x v="0"/>
    <x v="933"/>
    <x v="2"/>
    <x v="0"/>
    <n v="320.73"/>
    <x v="934"/>
    <s v="Cash"/>
    <x v="1"/>
  </r>
  <r>
    <n v="1034"/>
    <x v="212"/>
    <x v="1"/>
    <x v="1"/>
    <x v="934"/>
    <x v="40"/>
    <x v="0"/>
    <n v="137.47"/>
    <x v="935"/>
    <s v="Bank Transfer"/>
    <x v="1"/>
  </r>
  <r>
    <n v="1049"/>
    <x v="76"/>
    <x v="3"/>
    <x v="3"/>
    <x v="935"/>
    <x v="1"/>
    <x v="3"/>
    <n v="558.70000000000005"/>
    <x v="936"/>
    <s v="Credit Card"/>
    <x v="0"/>
  </r>
  <r>
    <n v="1078"/>
    <x v="328"/>
    <x v="3"/>
    <x v="0"/>
    <x v="936"/>
    <x v="45"/>
    <x v="2"/>
    <n v="902.38"/>
    <x v="937"/>
    <s v="Bank Transfer"/>
    <x v="1"/>
  </r>
  <r>
    <n v="1090"/>
    <x v="310"/>
    <x v="4"/>
    <x v="0"/>
    <x v="937"/>
    <x v="25"/>
    <x v="2"/>
    <n v="2183.37"/>
    <x v="938"/>
    <s v="Bank Transfer"/>
    <x v="1"/>
  </r>
  <r>
    <n v="1045"/>
    <x v="320"/>
    <x v="0"/>
    <x v="3"/>
    <x v="938"/>
    <x v="7"/>
    <x v="1"/>
    <n v="2577.08"/>
    <x v="939"/>
    <s v="Cash"/>
    <x v="0"/>
  </r>
  <r>
    <n v="1027"/>
    <x v="285"/>
    <x v="0"/>
    <x v="3"/>
    <x v="939"/>
    <x v="2"/>
    <x v="0"/>
    <n v="745.93"/>
    <x v="940"/>
    <s v="Credit Card"/>
    <x v="0"/>
  </r>
  <r>
    <n v="1073"/>
    <x v="152"/>
    <x v="1"/>
    <x v="0"/>
    <x v="940"/>
    <x v="6"/>
    <x v="2"/>
    <n v="2152.6799999999998"/>
    <x v="941"/>
    <s v="Bank Transfer"/>
    <x v="0"/>
  </r>
  <r>
    <n v="1026"/>
    <x v="158"/>
    <x v="1"/>
    <x v="3"/>
    <x v="941"/>
    <x v="27"/>
    <x v="1"/>
    <n v="1741.66"/>
    <x v="942"/>
    <s v="Credit Card"/>
    <x v="0"/>
  </r>
  <r>
    <n v="1047"/>
    <x v="217"/>
    <x v="1"/>
    <x v="2"/>
    <x v="942"/>
    <x v="13"/>
    <x v="2"/>
    <n v="957.95"/>
    <x v="943"/>
    <s v="Cash"/>
    <x v="0"/>
  </r>
  <r>
    <n v="1086"/>
    <x v="242"/>
    <x v="0"/>
    <x v="1"/>
    <x v="943"/>
    <x v="7"/>
    <x v="0"/>
    <n v="83.86"/>
    <x v="944"/>
    <s v="Credit Card"/>
    <x v="0"/>
  </r>
  <r>
    <n v="1056"/>
    <x v="107"/>
    <x v="2"/>
    <x v="1"/>
    <x v="944"/>
    <x v="44"/>
    <x v="1"/>
    <n v="2361.7399999999998"/>
    <x v="945"/>
    <s v="Cash"/>
    <x v="0"/>
  </r>
  <r>
    <n v="1094"/>
    <x v="267"/>
    <x v="3"/>
    <x v="1"/>
    <x v="945"/>
    <x v="34"/>
    <x v="1"/>
    <n v="3443.98"/>
    <x v="946"/>
    <s v="Credit Card"/>
    <x v="1"/>
  </r>
  <r>
    <n v="1063"/>
    <x v="202"/>
    <x v="2"/>
    <x v="2"/>
    <x v="946"/>
    <x v="31"/>
    <x v="1"/>
    <n v="1170.07"/>
    <x v="947"/>
    <s v="Bank Transfer"/>
    <x v="1"/>
  </r>
  <r>
    <n v="1048"/>
    <x v="267"/>
    <x v="2"/>
    <x v="3"/>
    <x v="947"/>
    <x v="20"/>
    <x v="2"/>
    <n v="702.44"/>
    <x v="948"/>
    <s v="Cash"/>
    <x v="1"/>
  </r>
  <r>
    <n v="1061"/>
    <x v="170"/>
    <x v="0"/>
    <x v="3"/>
    <x v="948"/>
    <x v="34"/>
    <x v="0"/>
    <n v="4440.8599999999997"/>
    <x v="949"/>
    <s v="Bank Transfer"/>
    <x v="0"/>
  </r>
  <r>
    <n v="1081"/>
    <x v="275"/>
    <x v="2"/>
    <x v="0"/>
    <x v="949"/>
    <x v="18"/>
    <x v="1"/>
    <n v="1411.37"/>
    <x v="950"/>
    <s v="Cash"/>
    <x v="1"/>
  </r>
  <r>
    <n v="1026"/>
    <x v="30"/>
    <x v="4"/>
    <x v="3"/>
    <x v="950"/>
    <x v="44"/>
    <x v="3"/>
    <n v="1156.8800000000001"/>
    <x v="951"/>
    <s v="Credit Card"/>
    <x v="0"/>
  </r>
  <r>
    <n v="1036"/>
    <x v="247"/>
    <x v="1"/>
    <x v="0"/>
    <x v="951"/>
    <x v="31"/>
    <x v="0"/>
    <n v="4292.63"/>
    <x v="952"/>
    <s v="Credit Card"/>
    <x v="1"/>
  </r>
  <r>
    <n v="1001"/>
    <x v="216"/>
    <x v="4"/>
    <x v="2"/>
    <x v="952"/>
    <x v="48"/>
    <x v="3"/>
    <n v="4094.68"/>
    <x v="953"/>
    <s v="Cash"/>
    <x v="1"/>
  </r>
  <r>
    <n v="1008"/>
    <x v="164"/>
    <x v="3"/>
    <x v="1"/>
    <x v="953"/>
    <x v="33"/>
    <x v="3"/>
    <n v="2269.3200000000002"/>
    <x v="954"/>
    <s v="Cash"/>
    <x v="1"/>
  </r>
  <r>
    <n v="1099"/>
    <x v="337"/>
    <x v="1"/>
    <x v="1"/>
    <x v="954"/>
    <x v="1"/>
    <x v="1"/>
    <n v="2471.73"/>
    <x v="955"/>
    <s v="Cash"/>
    <x v="1"/>
  </r>
  <r>
    <n v="1052"/>
    <x v="64"/>
    <x v="2"/>
    <x v="1"/>
    <x v="955"/>
    <x v="0"/>
    <x v="1"/>
    <n v="1127.8599999999999"/>
    <x v="956"/>
    <s v="Credit Card"/>
    <x v="0"/>
  </r>
  <r>
    <n v="1079"/>
    <x v="46"/>
    <x v="3"/>
    <x v="3"/>
    <x v="956"/>
    <x v="37"/>
    <x v="2"/>
    <n v="437.59"/>
    <x v="957"/>
    <s v="Cash"/>
    <x v="0"/>
  </r>
  <r>
    <n v="1047"/>
    <x v="338"/>
    <x v="1"/>
    <x v="0"/>
    <x v="957"/>
    <x v="36"/>
    <x v="2"/>
    <n v="2888.49"/>
    <x v="958"/>
    <s v="Cash"/>
    <x v="1"/>
  </r>
  <r>
    <n v="1056"/>
    <x v="223"/>
    <x v="2"/>
    <x v="0"/>
    <x v="958"/>
    <x v="15"/>
    <x v="2"/>
    <n v="536.80999999999995"/>
    <x v="959"/>
    <s v="Bank Transfer"/>
    <x v="0"/>
  </r>
  <r>
    <n v="1086"/>
    <x v="117"/>
    <x v="4"/>
    <x v="2"/>
    <x v="959"/>
    <x v="15"/>
    <x v="0"/>
    <n v="2273.91"/>
    <x v="960"/>
    <s v="Cash"/>
    <x v="0"/>
  </r>
  <r>
    <n v="1014"/>
    <x v="276"/>
    <x v="1"/>
    <x v="3"/>
    <x v="960"/>
    <x v="48"/>
    <x v="2"/>
    <n v="4705.46"/>
    <x v="961"/>
    <s v="Bank Transfer"/>
    <x v="1"/>
  </r>
  <r>
    <n v="1090"/>
    <x v="108"/>
    <x v="2"/>
    <x v="2"/>
    <x v="961"/>
    <x v="10"/>
    <x v="3"/>
    <n v="4766.53"/>
    <x v="962"/>
    <s v="Bank Transfer"/>
    <x v="0"/>
  </r>
  <r>
    <n v="1028"/>
    <x v="252"/>
    <x v="4"/>
    <x v="0"/>
    <x v="962"/>
    <x v="34"/>
    <x v="2"/>
    <n v="1234.69"/>
    <x v="963"/>
    <s v="Bank Transfer"/>
    <x v="0"/>
  </r>
  <r>
    <n v="1087"/>
    <x v="47"/>
    <x v="3"/>
    <x v="0"/>
    <x v="963"/>
    <x v="30"/>
    <x v="1"/>
    <n v="3139.36"/>
    <x v="964"/>
    <s v="Credit Card"/>
    <x v="0"/>
  </r>
  <r>
    <n v="1078"/>
    <x v="218"/>
    <x v="3"/>
    <x v="1"/>
    <x v="964"/>
    <x v="19"/>
    <x v="2"/>
    <n v="2396.6799999999998"/>
    <x v="965"/>
    <s v="Bank Transfer"/>
    <x v="0"/>
  </r>
  <r>
    <n v="1088"/>
    <x v="187"/>
    <x v="3"/>
    <x v="3"/>
    <x v="965"/>
    <x v="21"/>
    <x v="0"/>
    <n v="4384.6400000000003"/>
    <x v="966"/>
    <s v="Cash"/>
    <x v="1"/>
  </r>
  <r>
    <n v="1002"/>
    <x v="16"/>
    <x v="3"/>
    <x v="0"/>
    <x v="966"/>
    <x v="16"/>
    <x v="0"/>
    <n v="1393.58"/>
    <x v="967"/>
    <s v="Credit Card"/>
    <x v="1"/>
  </r>
  <r>
    <n v="1026"/>
    <x v="299"/>
    <x v="0"/>
    <x v="1"/>
    <x v="967"/>
    <x v="24"/>
    <x v="3"/>
    <n v="68.33"/>
    <x v="968"/>
    <s v="Credit Card"/>
    <x v="0"/>
  </r>
  <r>
    <n v="1014"/>
    <x v="317"/>
    <x v="1"/>
    <x v="3"/>
    <x v="968"/>
    <x v="41"/>
    <x v="0"/>
    <n v="854.68"/>
    <x v="969"/>
    <s v="Credit Card"/>
    <x v="1"/>
  </r>
  <r>
    <n v="1059"/>
    <x v="258"/>
    <x v="1"/>
    <x v="2"/>
    <x v="969"/>
    <x v="1"/>
    <x v="2"/>
    <n v="1780.14"/>
    <x v="970"/>
    <s v="Credit Card"/>
    <x v="1"/>
  </r>
  <r>
    <n v="1056"/>
    <x v="92"/>
    <x v="0"/>
    <x v="3"/>
    <x v="970"/>
    <x v="41"/>
    <x v="1"/>
    <n v="1612.82"/>
    <x v="971"/>
    <s v="Credit Card"/>
    <x v="1"/>
  </r>
  <r>
    <n v="1007"/>
    <x v="229"/>
    <x v="2"/>
    <x v="3"/>
    <x v="971"/>
    <x v="8"/>
    <x v="0"/>
    <n v="3967.25"/>
    <x v="972"/>
    <s v="Credit Card"/>
    <x v="0"/>
  </r>
  <r>
    <n v="1003"/>
    <x v="198"/>
    <x v="2"/>
    <x v="0"/>
    <x v="972"/>
    <x v="42"/>
    <x v="3"/>
    <n v="3418.78"/>
    <x v="973"/>
    <s v="Credit Card"/>
    <x v="0"/>
  </r>
  <r>
    <n v="1023"/>
    <x v="166"/>
    <x v="3"/>
    <x v="0"/>
    <x v="973"/>
    <x v="41"/>
    <x v="2"/>
    <n v="1532.8"/>
    <x v="974"/>
    <s v="Bank Transfer"/>
    <x v="1"/>
  </r>
  <r>
    <n v="1018"/>
    <x v="30"/>
    <x v="4"/>
    <x v="3"/>
    <x v="974"/>
    <x v="21"/>
    <x v="3"/>
    <n v="2315.83"/>
    <x v="975"/>
    <s v="Cash"/>
    <x v="1"/>
  </r>
  <r>
    <n v="1038"/>
    <x v="86"/>
    <x v="2"/>
    <x v="0"/>
    <x v="975"/>
    <x v="48"/>
    <x v="0"/>
    <n v="523.02"/>
    <x v="976"/>
    <s v="Cash"/>
    <x v="0"/>
  </r>
  <r>
    <n v="1099"/>
    <x v="329"/>
    <x v="4"/>
    <x v="0"/>
    <x v="976"/>
    <x v="2"/>
    <x v="0"/>
    <n v="4495.82"/>
    <x v="977"/>
    <s v="Bank Transfer"/>
    <x v="1"/>
  </r>
  <r>
    <n v="1015"/>
    <x v="339"/>
    <x v="1"/>
    <x v="0"/>
    <x v="977"/>
    <x v="14"/>
    <x v="3"/>
    <n v="4680.3500000000004"/>
    <x v="978"/>
    <s v="Bank Transfer"/>
    <x v="0"/>
  </r>
  <r>
    <n v="1064"/>
    <x v="111"/>
    <x v="4"/>
    <x v="1"/>
    <x v="978"/>
    <x v="22"/>
    <x v="2"/>
    <n v="4900.03"/>
    <x v="979"/>
    <s v="Credit Card"/>
    <x v="1"/>
  </r>
  <r>
    <n v="1089"/>
    <x v="136"/>
    <x v="1"/>
    <x v="1"/>
    <x v="979"/>
    <x v="29"/>
    <x v="0"/>
    <n v="4349.34"/>
    <x v="980"/>
    <s v="Credit Card"/>
    <x v="0"/>
  </r>
  <r>
    <n v="1028"/>
    <x v="82"/>
    <x v="0"/>
    <x v="3"/>
    <x v="153"/>
    <x v="38"/>
    <x v="1"/>
    <n v="911.11"/>
    <x v="981"/>
    <s v="Bank Transfer"/>
    <x v="0"/>
  </r>
  <r>
    <n v="1074"/>
    <x v="22"/>
    <x v="0"/>
    <x v="0"/>
    <x v="980"/>
    <x v="12"/>
    <x v="0"/>
    <n v="278.67"/>
    <x v="982"/>
    <s v="Credit Card"/>
    <x v="0"/>
  </r>
  <r>
    <n v="1039"/>
    <x v="97"/>
    <x v="3"/>
    <x v="1"/>
    <x v="981"/>
    <x v="43"/>
    <x v="2"/>
    <n v="2919"/>
    <x v="983"/>
    <s v="Cash"/>
    <x v="0"/>
  </r>
  <r>
    <n v="1057"/>
    <x v="130"/>
    <x v="2"/>
    <x v="3"/>
    <x v="982"/>
    <x v="8"/>
    <x v="0"/>
    <n v="4567.3900000000003"/>
    <x v="984"/>
    <s v="Cash"/>
    <x v="1"/>
  </r>
  <r>
    <n v="1017"/>
    <x v="332"/>
    <x v="3"/>
    <x v="0"/>
    <x v="983"/>
    <x v="30"/>
    <x v="3"/>
    <n v="927.89"/>
    <x v="985"/>
    <s v="Credit Card"/>
    <x v="0"/>
  </r>
  <r>
    <n v="1086"/>
    <x v="62"/>
    <x v="1"/>
    <x v="2"/>
    <x v="984"/>
    <x v="5"/>
    <x v="0"/>
    <n v="84.86"/>
    <x v="986"/>
    <s v="Credit Card"/>
    <x v="1"/>
  </r>
  <r>
    <n v="1090"/>
    <x v="21"/>
    <x v="3"/>
    <x v="0"/>
    <x v="985"/>
    <x v="28"/>
    <x v="0"/>
    <n v="4037.21"/>
    <x v="987"/>
    <s v="Credit Card"/>
    <x v="0"/>
  </r>
  <r>
    <n v="1044"/>
    <x v="36"/>
    <x v="4"/>
    <x v="0"/>
    <x v="986"/>
    <x v="0"/>
    <x v="2"/>
    <n v="430.14"/>
    <x v="988"/>
    <s v="Cash"/>
    <x v="0"/>
  </r>
  <r>
    <n v="1025"/>
    <x v="174"/>
    <x v="1"/>
    <x v="1"/>
    <x v="987"/>
    <x v="40"/>
    <x v="3"/>
    <n v="2097.84"/>
    <x v="989"/>
    <s v="Credit Card"/>
    <x v="1"/>
  </r>
  <r>
    <n v="1017"/>
    <x v="54"/>
    <x v="0"/>
    <x v="3"/>
    <x v="988"/>
    <x v="6"/>
    <x v="2"/>
    <n v="3410.49"/>
    <x v="990"/>
    <s v="Bank Transfer"/>
    <x v="1"/>
  </r>
  <r>
    <n v="1013"/>
    <x v="26"/>
    <x v="2"/>
    <x v="3"/>
    <x v="989"/>
    <x v="25"/>
    <x v="0"/>
    <n v="1222.1500000000001"/>
    <x v="991"/>
    <s v="Credit Card"/>
    <x v="1"/>
  </r>
  <r>
    <n v="1084"/>
    <x v="331"/>
    <x v="1"/>
    <x v="1"/>
    <x v="990"/>
    <x v="22"/>
    <x v="1"/>
    <n v="465.61"/>
    <x v="992"/>
    <s v="Bank Transfer"/>
    <x v="0"/>
  </r>
  <r>
    <n v="1025"/>
    <x v="177"/>
    <x v="1"/>
    <x v="0"/>
    <x v="991"/>
    <x v="20"/>
    <x v="0"/>
    <n v="3861.61"/>
    <x v="993"/>
    <s v="Credit Card"/>
    <x v="0"/>
  </r>
  <r>
    <n v="1068"/>
    <x v="209"/>
    <x v="4"/>
    <x v="2"/>
    <x v="992"/>
    <x v="17"/>
    <x v="2"/>
    <n v="3169.37"/>
    <x v="994"/>
    <s v="Credit Card"/>
    <x v="1"/>
  </r>
  <r>
    <n v="1010"/>
    <x v="297"/>
    <x v="2"/>
    <x v="0"/>
    <x v="993"/>
    <x v="41"/>
    <x v="1"/>
    <n v="4943.03"/>
    <x v="995"/>
    <s v="Cash"/>
    <x v="0"/>
  </r>
  <r>
    <n v="1067"/>
    <x v="259"/>
    <x v="0"/>
    <x v="0"/>
    <x v="994"/>
    <x v="35"/>
    <x v="2"/>
    <n v="1754.32"/>
    <x v="996"/>
    <s v="Bank Transfer"/>
    <x v="1"/>
  </r>
  <r>
    <n v="1018"/>
    <x v="167"/>
    <x v="1"/>
    <x v="2"/>
    <x v="995"/>
    <x v="1"/>
    <x v="2"/>
    <n v="355.72"/>
    <x v="997"/>
    <s v="Bank Transfer"/>
    <x v="0"/>
  </r>
  <r>
    <n v="1100"/>
    <x v="266"/>
    <x v="1"/>
    <x v="1"/>
    <x v="996"/>
    <x v="3"/>
    <x v="3"/>
    <n v="3685.03"/>
    <x v="998"/>
    <s v="Bank Transfer"/>
    <x v="0"/>
  </r>
  <r>
    <n v="1086"/>
    <x v="132"/>
    <x v="4"/>
    <x v="3"/>
    <x v="997"/>
    <x v="10"/>
    <x v="1"/>
    <n v="2632.58"/>
    <x v="999"/>
    <s v="Cas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5BBCF7-169A-4E8A-B040-6399C5128D8F}"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9:C15" firstHeaderRow="1" firstDataRow="1" firstDataCol="1"/>
  <pivotFields count="1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Sales_Amount"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FCAB70-08C3-4F4B-B145-672A346943F9}"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0:G25" firstHeaderRow="1" firstDataRow="1" firstDataCol="1"/>
  <pivotFields count="1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showAll="0"/>
    <pivotField dataField="1"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Quantity_Sold"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1A9071-F10E-4FF8-80E7-89C03C61761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7" firstHeaderRow="1" firstDataRow="1" firstDataCol="1"/>
  <pivotFields count="1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Sales_Amount" fld="4"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3C4C8C-38F8-4C2A-A134-3D1D1897806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4:G17" firstHeaderRow="1" firstDataRow="1" firstDataCol="1"/>
  <pivotFields count="1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items count="3">
        <item x="0"/>
        <item x="1"/>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1">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FDFB1B-EACD-4CA8-8F12-DD9C256FFFF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4:C30" firstHeaderRow="1" firstDataRow="1" firstDataCol="1"/>
  <pivotFields count="1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Count of Quantity_Sold" fld="5" subtotal="count" baseField="2"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330113-FDEC-49E4-B5F7-0060B2019C34}"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7:C22" firstHeaderRow="1" firstDataRow="1" firstDataCol="1"/>
  <pivotFields count="1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axis="axisRow" showAll="0">
      <items count="5">
        <item x="2"/>
        <item x="3"/>
        <item x="1"/>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Sales_Amount" fld="4" baseField="6" baseItem="1"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01AA665-4107-413A-AD4A-E29FB7AF5555}" sourceName="Sales_Rep">
  <pivotTables>
    <pivotTable tabId="4" name="PivotTable8"/>
    <pivotTable tabId="4" name="PivotTable1"/>
    <pivotTable tabId="4" name="PivotTable2"/>
    <pivotTable tabId="4" name="PivotTable3"/>
    <pivotTable tabId="4" name="PivotTable4"/>
    <pivotTable tabId="4" name="PivotTable5"/>
  </pivotTables>
  <data>
    <tabular pivotCacheId="235449169">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Sold" xr10:uid="{59CD0CA5-4241-4748-952B-878011EA736F}" sourceName="Quantity_Sold">
  <pivotTables>
    <pivotTable tabId="4" name="PivotTable8"/>
    <pivotTable tabId="4" name="PivotTable1"/>
  </pivotTables>
  <data>
    <tabular pivotCacheId="235449169">
      <items count="49">
        <i x="21" s="1"/>
        <i x="39" s="1"/>
        <i x="45" s="1"/>
        <i x="41" s="1"/>
        <i x="47" s="1"/>
        <i x="32" s="1"/>
        <i x="48" s="1"/>
        <i x="29" s="1"/>
        <i x="14" s="1"/>
        <i x="15" s="1"/>
        <i x="23" s="1"/>
        <i x="26" s="1"/>
        <i x="4" s="1"/>
        <i x="28" s="1"/>
        <i x="13" s="1"/>
        <i x="25" s="1"/>
        <i x="1" s="1"/>
        <i x="0" s="1"/>
        <i x="12" s="1"/>
        <i x="46" s="1"/>
        <i x="9" s="1"/>
        <i x="33" s="1"/>
        <i x="18" s="1"/>
        <i x="38" s="1"/>
        <i x="44" s="1"/>
        <i x="42" s="1"/>
        <i x="30" s="1"/>
        <i x="40" s="1"/>
        <i x="6" s="1"/>
        <i x="2" s="1"/>
        <i x="17" s="1"/>
        <i x="5" s="1"/>
        <i x="19" s="1"/>
        <i x="24" s="1"/>
        <i x="22" s="1"/>
        <i x="43" s="1"/>
        <i x="35" s="1"/>
        <i x="34" s="1"/>
        <i x="3" s="1"/>
        <i x="11" s="1"/>
        <i x="36" s="1"/>
        <i x="31" s="1"/>
        <i x="8" s="1"/>
        <i x="16" s="1"/>
        <i x="27" s="1"/>
        <i x="7" s="1"/>
        <i x="20" s="1"/>
        <i x="10" s="1"/>
        <i x="3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A22D39-D7A5-4A54-9C0E-C77ED2AA1980}" sourceName="Region">
  <pivotTables>
    <pivotTable tabId="4" name="PivotTable8"/>
    <pivotTable tabId="4" name="PivotTable1"/>
    <pivotTable tabId="4" name="PivotTable2"/>
    <pivotTable tabId="4" name="PivotTable3"/>
    <pivotTable tabId="4" name="PivotTable4"/>
    <pivotTable tabId="4" name="PivotTable5"/>
  </pivotTables>
  <data>
    <tabular pivotCacheId="235449169">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0C041CCE-866A-4447-AD89-D2EBEB4942A9}" sourceName="Sales_Amount">
  <pivotTables>
    <pivotTable tabId="4" name="PivotTable8"/>
    <pivotTable tabId="4" name="PivotTable1"/>
  </pivotTables>
  <data>
    <tabular pivotCacheId="235449169">
      <items count="998">
        <i x="255" s="1"/>
        <i x="978" s="1"/>
        <i x="67" s="1"/>
        <i x="264" s="1"/>
        <i x="570" s="1"/>
        <i x="669" s="1"/>
        <i x="114" s="1"/>
        <i x="451" s="1"/>
        <i x="665" s="1"/>
        <i x="171" s="1"/>
        <i x="460" s="1"/>
        <i x="45" s="1"/>
        <i x="623" s="1"/>
        <i x="330" s="1"/>
        <i x="170" s="1"/>
        <i x="360" s="1"/>
        <i x="470" s="1"/>
        <i x="771" s="1"/>
        <i x="35" s="1"/>
        <i x="419" s="1"/>
        <i x="440" s="1"/>
        <i x="56" s="1"/>
        <i x="61" s="1"/>
        <i x="615" s="1"/>
        <i x="576" s="1"/>
        <i x="822" s="1"/>
        <i x="38" s="1"/>
        <i x="514" s="1"/>
        <i x="764" s="1"/>
        <i x="72" s="1"/>
        <i x="328" s="1"/>
        <i x="182" s="1"/>
        <i x="855" s="1"/>
        <i x="734" s="1"/>
        <i x="840" s="1"/>
        <i x="736" s="1"/>
        <i x="211" s="1"/>
        <i x="252" s="1"/>
        <i x="210" s="1"/>
        <i x="775" s="1"/>
        <i x="740" s="1"/>
        <i x="988" s="1"/>
        <i x="761" s="1"/>
        <i x="292" s="1"/>
        <i x="129" s="1"/>
        <i x="190" s="1"/>
        <i x="133" s="1"/>
        <i x="339" s="1"/>
        <i x="362" s="1"/>
        <i x="839" s="1"/>
        <i x="6" s="1"/>
        <i x="801" s="1"/>
        <i x="258" s="1"/>
        <i x="517" s="1"/>
        <i x="377" s="1"/>
        <i x="914" s="1"/>
        <i x="585" s="1"/>
        <i x="85" s="1"/>
        <i x="30" s="1"/>
        <i x="112" s="1"/>
        <i x="861" s="1"/>
        <i x="475" s="1"/>
        <i x="891" s="1"/>
        <i x="510" s="1"/>
        <i x="79" s="1"/>
        <i x="673" s="1"/>
        <i x="647" s="1"/>
        <i x="642" s="1"/>
        <i x="863" s="1"/>
        <i x="752" s="1"/>
        <i x="391" s="1"/>
        <i x="371" s="1"/>
        <i x="492" s="1"/>
        <i x="659" s="1"/>
        <i x="237" s="1"/>
        <i x="617" s="1"/>
        <i x="527" s="1"/>
        <i x="870" s="1"/>
        <i x="236" s="1"/>
        <i x="149" s="1"/>
        <i x="649" s="1"/>
        <i x="411" s="1"/>
        <i x="92" s="1"/>
        <i x="637" s="1"/>
        <i x="123" s="1"/>
        <i x="707" s="1"/>
        <i x="410" s="1"/>
        <i x="285" s="1"/>
        <i x="480" s="1"/>
        <i x="910" s="1"/>
        <i x="898" s="1"/>
        <i x="575" s="1"/>
        <i x="842" s="1"/>
        <i x="868" s="1"/>
        <i x="967" s="1"/>
        <i x="730" s="1"/>
        <i x="466" s="1"/>
        <i x="414" s="1"/>
        <i x="453" s="1"/>
        <i x="985" s="1"/>
        <i x="753" s="1"/>
        <i x="180" s="1"/>
        <i x="875" s="1"/>
        <i x="386" s="1"/>
        <i x="207" s="1"/>
        <i x="450" s="1"/>
        <i x="298" s="1"/>
        <i x="551" s="1"/>
        <i x="581" s="1"/>
        <i x="520" s="1"/>
        <i x="430" s="1"/>
        <i x="533" s="1"/>
        <i x="31" s="1"/>
        <i x="395" s="1"/>
        <i x="603" s="1"/>
        <i x="605" s="1"/>
        <i x="568" s="1"/>
        <i x="185" s="1"/>
        <i x="59" s="1"/>
        <i x="39" s="1"/>
        <i x="55" s="1"/>
        <i x="940" s="1"/>
        <i x="253" s="1"/>
        <i x="887" s="1"/>
        <i x="763" s="1"/>
        <i x="347" s="1"/>
        <i x="117" s="1"/>
        <i x="19" s="1"/>
        <i x="903" s="1"/>
        <i x="680" s="1"/>
        <i x="96" s="1"/>
        <i x="952" s="1"/>
        <i x="607" s="1"/>
        <i x="963" s="1"/>
        <i x="906" s="1"/>
        <i x="894" s="1"/>
        <i x="100" s="1"/>
        <i x="877" s="1"/>
        <i x="113" s="1"/>
        <i x="247" s="1"/>
        <i x="982" s="1"/>
        <i x="832" s="1"/>
        <i x="996" s="1"/>
        <i x="431" s="1"/>
        <i x="897" s="1"/>
        <i x="813" s="1"/>
        <i x="695" s="1"/>
        <i x="349" s="1"/>
        <i x="525" s="1"/>
        <i x="563" s="1"/>
        <i x="526" s="1"/>
        <i x="574" s="1"/>
        <i x="160" s="1"/>
        <i x="166" s="1"/>
        <i x="324" s="1"/>
        <i x="569" s="1"/>
        <i x="577" s="1"/>
        <i x="130" s="1"/>
        <i x="288" s="1"/>
        <i x="807" s="1"/>
        <i x="876" s="1"/>
        <i x="821" s="1"/>
        <i x="684" s="1"/>
        <i x="597" s="1"/>
        <i x="971" s="1"/>
        <i x="212" s="1"/>
        <i x="943" s="1"/>
        <i x="565" s="1"/>
        <i x="343" s="1"/>
        <i x="816" s="1"/>
        <i x="393" s="1"/>
        <i x="276" s="1"/>
        <i x="957" s="1"/>
        <i x="633" s="1"/>
        <i x="954" s="1"/>
        <i x="528" s="1"/>
        <i x="232" s="1"/>
        <i x="729" s="1"/>
        <i x="706" s="1"/>
        <i x="447" s="1"/>
        <i x="152" s="1"/>
        <i x="720" s="1"/>
        <i x="205" s="1"/>
        <i x="555" s="1"/>
        <i x="685" s="1"/>
        <i x="928" s="1"/>
        <i x="313" s="1"/>
        <i x="95" s="1"/>
        <i x="941" s="1"/>
        <i x="850" s="1"/>
        <i x="140" s="1"/>
        <i x="383" s="1"/>
        <i x="26" s="1"/>
        <i x="467" s="1"/>
        <i x="487" s="1"/>
        <i x="699" s="1"/>
        <i x="435" s="1"/>
        <i x="641" s="1"/>
        <i x="612" s="1"/>
        <i x="230" s="1"/>
        <i x="403" s="1"/>
        <i x="609" s="1"/>
        <i x="235" s="1"/>
        <i x="990" s="1"/>
        <i x="3" s="1"/>
        <i x="132" s="1"/>
        <i x="892" s="1"/>
        <i x="871" s="1"/>
        <i x="847" s="1"/>
        <i x="794" s="1"/>
        <i x="11" s="1"/>
        <i x="472" s="1"/>
        <i x="702" s="1"/>
        <i x="15" s="1"/>
        <i x="666" s="1"/>
        <i x="974" s="1"/>
        <i x="956" s="1"/>
        <i x="722" s="1"/>
        <i x="588" s="1"/>
        <i x="656" s="1"/>
        <i x="973" s="1"/>
        <i x="209" s="1"/>
        <i x="176" s="1"/>
        <i x="582" s="1"/>
        <i x="267" s="1"/>
        <i x="94" s="1"/>
        <i x="260" s="1"/>
        <i x="80" s="1"/>
        <i x="174" s="1"/>
        <i x="788" s="1"/>
        <i x="872" s="1"/>
        <i x="567" s="1"/>
        <i x="948" s="1"/>
        <i x="263" s="1"/>
        <i x="770" s="1"/>
        <i x="886" s="1"/>
        <i x="587" s="1"/>
        <i x="334" s="1"/>
        <i x="991" s="1"/>
        <i x="204" s="1"/>
        <i x="760" s="1"/>
        <i x="701" s="1"/>
        <i x="579" s="1"/>
        <i x="120" s="1"/>
        <i x="138" s="1"/>
        <i x="464" s="1"/>
        <i x="738" s="1"/>
        <i x="584" s="1"/>
        <i x="81" s="1"/>
        <i x="163" s="1"/>
        <i x="474" s="1"/>
        <i x="471" s="1"/>
        <i x="504" s="1"/>
        <i x="750" s="1"/>
        <i x="976" s="1"/>
        <i x="536" s="1"/>
        <i x="355" s="1"/>
        <i x="421" s="1"/>
        <i x="200" s="1"/>
        <i x="442" s="1"/>
        <i x="622" s="1"/>
        <i x="888" s="1"/>
        <i x="457" s="1"/>
        <i x="146" s="1"/>
        <i x="735" s="1"/>
        <i x="105" s="1"/>
        <i x="524" s="1"/>
        <i x="977" s="1"/>
        <i x="715" s="1"/>
        <i x="402" s="1"/>
        <i x="724" s="1"/>
        <i x="293" s="1"/>
        <i x="60" s="1"/>
        <i x="418" s="1"/>
        <i x="33" s="1"/>
        <i x="405" s="1"/>
        <i x="874" s="1"/>
        <i x="497" s="1"/>
        <i x="719" s="1"/>
        <i x="473" s="1"/>
        <i x="698" s="1"/>
        <i x="426" s="1"/>
        <i x="713" s="1"/>
        <i x="908" s="1"/>
        <i x="311" s="1"/>
        <i x="124" s="1"/>
        <i x="812" s="1"/>
        <i x="388" s="1"/>
        <i x="834" s="1"/>
        <i x="387" s="1"/>
        <i x="882" s="1"/>
        <i x="955" s="1"/>
        <i x="250" s="1"/>
        <i x="214" s="1"/>
        <i x="221" s="1"/>
        <i x="959" s="1"/>
        <i x="373" s="1"/>
        <i x="852" s="1"/>
        <i x="28" s="1"/>
        <i x="406" s="1"/>
        <i x="364" s="1"/>
        <i x="186" s="1"/>
        <i x="534" s="1"/>
        <i x="351" s="1"/>
        <i x="108" s="1"/>
        <i x="989" s="1"/>
        <i x="512" s="1"/>
        <i x="62" s="1"/>
        <i x="18" s="1"/>
        <i x="295" s="1"/>
        <i x="413" s="1"/>
        <i x="885" s="1"/>
        <i x="68" s="1"/>
        <i x="515" s="1"/>
        <i x="900" s="1"/>
        <i x="78" s="1"/>
        <i x="272" s="1"/>
        <i x="262" s="1"/>
        <i x="261" s="1"/>
        <i x="912" s="1"/>
        <i x="365" s="1"/>
        <i x="543" s="1"/>
        <i x="350" s="1"/>
        <i x="535" s="1"/>
        <i x="50" s="1"/>
        <i x="768" s="1"/>
        <i x="425" s="1"/>
        <i x="700" s="1"/>
        <i x="922" s="1"/>
        <i x="22" s="1"/>
        <i x="655" s="1"/>
        <i x="177" s="1"/>
        <i x="742" s="1"/>
        <i x="718" s="1"/>
        <i x="745" s="1"/>
        <i x="273" s="1"/>
        <i x="884" s="1"/>
        <i x="755" s="1"/>
        <i x="546" s="1"/>
        <i x="937" s="1"/>
        <i x="233" s="1"/>
        <i x="243" s="1"/>
        <i x="376" s="1"/>
        <i x="630" s="1"/>
        <i x="368" s="1"/>
        <i x="862" s="1"/>
        <i x="315" s="1"/>
        <i x="606" s="1"/>
        <i x="37" s="1"/>
        <i x="792" s="1"/>
        <i x="895" s="1"/>
        <i x="106" s="1"/>
        <i x="314" s="1"/>
        <i x="400" s="1"/>
        <i x="65" s="1"/>
        <i x="657" s="1"/>
        <i x="984" s="1"/>
        <i x="366" s="1"/>
        <i x="222" s="1"/>
        <i x="540" s="1"/>
        <i x="580" s="1"/>
        <i x="547" s="1"/>
        <i x="838" s="1"/>
        <i x="889" s="1"/>
        <i x="539" s="1"/>
        <i x="172" s="1"/>
        <i x="198" s="1"/>
        <i x="202" s="1"/>
        <i x="765" s="1"/>
        <i x="934" s="1"/>
        <i x="93" s="1"/>
        <i x="966" s="1"/>
        <i x="29" s="1"/>
        <i x="732" s="1"/>
        <i x="498" s="1"/>
        <i x="4" s="1"/>
        <i x="301" s="1"/>
        <i x="660" s="1"/>
        <i x="5" s="1"/>
        <i x="277" s="1"/>
        <i x="493" s="1"/>
        <i x="927" s="1"/>
        <i x="192" s="1"/>
        <i x="66" s="1"/>
        <i x="950" s="1"/>
        <i x="658" s="1"/>
        <i x="805" s="1"/>
        <i x="378" s="1"/>
        <i x="964" s="1"/>
        <i x="650" s="1"/>
        <i x="36" s="1"/>
        <i x="323" s="1"/>
        <i x="709" s="1"/>
        <i x="327" s="1"/>
        <i x="869" s="1"/>
        <i x="638" s="1"/>
        <i x="103" s="1"/>
        <i x="787" s="1"/>
        <i x="644" s="1"/>
        <i x="586" s="1"/>
        <i x="610" s="1"/>
        <i x="193" s="1"/>
        <i x="552" s="1"/>
        <i x="282" s="1"/>
        <i x="24" s="1"/>
        <i x="346" s="1"/>
        <i x="401" s="1"/>
        <i x="187" s="1"/>
        <i x="77" s="1"/>
        <i x="445" s="1"/>
        <i x="831" s="1"/>
        <i x="396" s="1"/>
        <i x="42" s="1"/>
        <i x="370" s="1"/>
        <i x="936" s="1"/>
        <i x="439" s="1"/>
        <i x="240" s="1"/>
        <i x="522" s="1"/>
        <i x="762" s="1"/>
        <i x="599" s="1"/>
        <i x="40" s="1"/>
        <i x="592" s="1"/>
        <i x="8" s="1"/>
        <i x="256" s="1"/>
        <i x="384" s="1"/>
        <i x="915" s="1"/>
        <i x="614" s="1"/>
        <i x="226" s="1"/>
        <i x="271" s="1"/>
        <i x="399" s="1"/>
        <i x="841" s="1"/>
        <i x="703" s="1"/>
        <i x="251" s="1"/>
        <i x="506" s="1"/>
        <i x="181" s="1"/>
        <i x="593" s="1"/>
        <i x="389" s="1"/>
        <i x="733" s="1"/>
        <i x="1" s="1"/>
        <i x="374" s="1"/>
        <i x="128" s="1"/>
        <i x="652" s="1"/>
        <i x="452" s="1"/>
        <i x="456" s="1"/>
        <i x="458" s="1"/>
        <i x="217" s="1"/>
        <i x="147" s="1"/>
        <i x="333" s="1"/>
        <i x="561" s="1"/>
        <i x="881" s="1"/>
        <i x="785" s="1"/>
        <i x="507" s="1"/>
        <i x="513" s="1"/>
        <i x="131" s="1"/>
        <i x="116" s="1"/>
        <i x="443" s="1"/>
        <i x="632" s="1"/>
        <i x="938" s="1"/>
        <i x="502" s="1"/>
        <i x="802" s="1"/>
        <i x="818" s="1"/>
        <i x="2" s="1"/>
        <i x="76" s="1"/>
        <i x="983" s="1"/>
        <i x="916" s="1"/>
        <i x="476" s="1"/>
        <i x="911" s="1"/>
        <i x="126" s="1"/>
        <i x="306" s="1"/>
        <i x="46" s="1"/>
        <i x="661" s="1"/>
        <i x="859" s="1"/>
        <i x="994" s="1"/>
        <i x="636" s="1"/>
        <i x="993" s="1"/>
        <i x="873" s="1"/>
        <i x="109" s="1"/>
        <i x="13" s="1"/>
        <i x="84" s="1"/>
        <i x="696" s="1"/>
        <i x="618" s="1"/>
        <i x="228" s="1"/>
        <i x="161" s="1"/>
        <i x="183" s="1"/>
        <i x="404" s="1"/>
        <i x="932" s="1"/>
        <i x="668" s="1"/>
        <i x="82" s="1"/>
        <i x="899" s="1"/>
        <i x="629" s="1"/>
        <i x="986" s="1"/>
        <i x="997" s="1"/>
        <i x="909" s="1"/>
        <i x="830" s="1"/>
        <i x="929" s="1"/>
        <i x="946" s="1"/>
        <i x="518" s="1"/>
        <i x="931" s="1"/>
        <i x="41" s="1"/>
        <i x="322" s="1"/>
        <i x="229" s="1"/>
        <i x="169" s="1"/>
        <i x="598" s="1"/>
        <i x="808" s="1"/>
        <i x="0" s="1"/>
        <i x="121" s="1"/>
        <i x="516" s="1"/>
        <i x="554" s="1"/>
        <i x="340" s="1"/>
        <i x="905" s="1"/>
        <i x="548" s="1"/>
        <i x="208" s="1"/>
        <i x="239" s="1"/>
        <i x="705" s="1"/>
        <i x="613" s="1"/>
        <i x="300" s="1"/>
        <i x="299" s="1"/>
        <i x="573" s="1"/>
        <i x="537" s="1"/>
        <i x="32" s="1"/>
        <i x="219" s="1"/>
        <i x="64" s="1"/>
        <i x="679" s="1"/>
        <i x="392" s="1"/>
        <i x="48" s="1"/>
        <i x="583" s="1"/>
        <i x="53" s="1"/>
        <i x="491" s="1"/>
        <i x="157" s="1"/>
        <i x="257" s="1"/>
        <i x="793" s="1"/>
        <i x="119" s="1"/>
        <i x="43" s="1"/>
        <i x="602" s="1"/>
        <i x="538" s="1"/>
        <i x="625" s="1"/>
        <i x="829" s="1"/>
        <i x="923" s="1"/>
        <i x="496" s="1"/>
        <i x="249" s="1"/>
        <i x="594" s="1"/>
        <i x="645" s="1"/>
        <i x="486" s="1"/>
        <i x="90" s="1"/>
        <i x="286" s="1"/>
        <i x="337" s="1"/>
        <i x="127" s="1"/>
        <i x="672" s="1"/>
        <i x="363" s="1"/>
        <i x="949" s="1"/>
        <i x="345" s="1"/>
        <i x="553" s="1"/>
        <i x="968" s="1"/>
        <i x="591" s="1"/>
        <i x="739" s="1"/>
        <i x="654" s="1"/>
        <i x="619" s="1"/>
        <i x="320" s="1"/>
        <i x="778" s="1"/>
        <i x="901" s="1"/>
        <i x="201" s="1"/>
        <i x="167" s="1"/>
        <i x="767" s="1"/>
        <i x="944" s="1"/>
        <i x="145" s="1"/>
        <i x="953" s="1"/>
        <i x="962" s="1"/>
        <i x="357" s="1"/>
        <i x="833" s="1"/>
        <i x="918" s="1"/>
        <i x="751" s="1"/>
        <i x="197" s="1"/>
        <i x="99" s="1"/>
        <i x="693" s="1"/>
        <i x="945" s="1"/>
        <i x="218" s="1"/>
        <i x="904" s="1"/>
        <i x="782" s="1"/>
        <i x="216" s="1"/>
        <i x="441" s="1"/>
        <i x="836" s="1"/>
        <i x="675" s="1"/>
        <i x="290" s="1"/>
        <i x="495" s="1"/>
        <i x="781" s="1"/>
        <i x="436" s="1"/>
        <i x="461" s="1"/>
        <i x="283" s="1"/>
        <i x="231" s="1"/>
        <i x="837" s="1"/>
        <i x="800" s="1"/>
        <i x="148" s="1"/>
        <i x="44" s="1"/>
        <i x="723" s="1"/>
        <i x="789" s="1"/>
        <i x="690" s="1"/>
        <i x="427" s="1"/>
        <i x="415" s="1"/>
        <i x="815" s="1"/>
        <i x="294" s="1"/>
        <i x="409" s="1"/>
        <i x="604" s="1"/>
        <i x="478" s="1"/>
        <i x="843" s="1"/>
        <i x="17" s="1"/>
        <i x="824" s="1"/>
        <i x="424" s="1"/>
        <i x="562" s="1"/>
        <i x="462" s="1"/>
        <i x="590" s="1"/>
        <i x="488" s="1"/>
        <i x="777" s="1"/>
        <i x="682" s="1"/>
        <i x="367" s="1"/>
        <i x="150" s="1"/>
        <i x="97" s="1"/>
        <i x="857" s="1"/>
        <i x="416" s="1"/>
        <i x="773" s="1"/>
        <i x="907" s="1"/>
        <i x="779" s="1"/>
        <i x="356" s="1"/>
        <i x="980" s="1"/>
        <i x="620" s="1"/>
        <i x="503" s="1"/>
        <i x="115" s="1"/>
        <i x="601" s="1"/>
        <i x="382" s="1"/>
        <i x="694" s="1"/>
        <i x="175" s="1"/>
        <i x="814" s="1"/>
        <i x="102" s="1"/>
        <i x="717" s="1"/>
        <i x="463" s="1"/>
        <i x="164" s="1"/>
        <i x="380" s="1"/>
        <i x="947" s="1"/>
        <i x="23" s="1"/>
        <i x="69" s="1"/>
        <i x="648" s="1"/>
        <i x="417" s="1"/>
        <i x="811" s="1"/>
        <i x="508" s="1"/>
        <i x="797" s="1"/>
        <i x="20" s="1"/>
        <i x="691" s="1"/>
        <i x="769" s="1"/>
        <i x="246" s="1"/>
        <i x="523" s="1"/>
        <i x="203" s="1"/>
        <i x="663" s="1"/>
        <i x="407" s="1"/>
        <i x="12" s="1"/>
        <i x="846" s="1"/>
        <i x="711" s="1"/>
        <i x="284" s="1"/>
        <i x="951" s="1"/>
        <i x="667" s="1"/>
        <i x="725" s="1"/>
        <i x="184" s="1"/>
        <i x="268" s="1"/>
        <i x="529" s="1"/>
        <i x="500" s="1"/>
        <i x="165" s="1"/>
        <i x="741" s="1"/>
        <i x="919" s="1"/>
        <i x="819" s="1"/>
        <i x="681" s="1"/>
        <i x="381" s="1"/>
        <i x="448" s="1"/>
        <i x="353" s="1"/>
        <i x="972" s="1"/>
        <i x="479" s="1"/>
        <i x="564" s="1"/>
        <i x="890" s="1"/>
        <i x="361" s="1"/>
        <i x="104" s="1"/>
        <i x="803" s="1"/>
        <i x="422" s="1"/>
        <i x="557" s="1"/>
        <i x="804" s="1"/>
        <i x="49" s="1"/>
        <i x="16" s="1"/>
        <i x="122" s="1"/>
        <i x="438" s="1"/>
        <i x="532" s="1"/>
        <i x="375" s="1"/>
        <i x="621" s="1"/>
        <i x="809" s="1"/>
        <i x="608" s="1"/>
        <i x="714" s="1"/>
        <i x="244" s="1"/>
        <i x="566" s="1"/>
        <i x="308" s="1"/>
        <i x="721" s="1"/>
        <i x="708" s="1"/>
        <i x="595" s="1"/>
        <i x="810" s="1"/>
        <i x="304" s="1"/>
        <i x="731" s="1"/>
        <i x="825" s="1"/>
        <i x="437" s="1"/>
        <i x="318" s="1"/>
        <i x="596" s="1"/>
        <i x="331" s="1"/>
        <i x="398" s="1"/>
        <i x="335" s="1"/>
        <i x="817" s="1"/>
        <i x="505" s="1"/>
        <i x="423" s="1"/>
        <i x="786" s="1"/>
        <i x="111" s="1"/>
        <i x="664" s="1"/>
        <i x="287" s="1"/>
        <i x="143" s="1"/>
        <i x="274" s="1"/>
        <i x="25" s="1"/>
        <i x="465" s="1"/>
        <i x="305" s="1"/>
        <i x="296" s="1"/>
        <i x="799" s="1"/>
        <i x="697" s="1"/>
        <i x="162" s="1"/>
        <i x="341" s="1"/>
        <i x="571" s="1"/>
        <i x="662" s="1"/>
        <i x="624" s="1"/>
        <i x="459" s="1"/>
        <i x="917" s="1"/>
        <i x="319" s="1"/>
        <i x="179" s="1"/>
        <i x="309" s="1"/>
        <i x="265" s="1"/>
        <i x="572" s="1"/>
        <i x="369" s="1"/>
        <i x="477" s="1"/>
        <i x="326" s="1"/>
        <i x="433" s="1"/>
        <i x="851" s="1"/>
        <i x="397" s="1"/>
        <i x="490" s="1"/>
        <i x="21" s="1"/>
        <i x="469" s="1"/>
        <i x="930" s="1"/>
        <i x="269" s="1"/>
        <i x="683" s="1"/>
        <i x="489" s="1"/>
        <i x="83" s="1"/>
        <i x="756" s="1"/>
        <i x="560" s="1"/>
        <i x="454" s="1"/>
        <i x="687" s="1"/>
        <i x="981" s="1"/>
        <i x="385" s="1"/>
        <i x="677" s="1"/>
        <i x="281" s="1"/>
        <i x="194" s="1"/>
        <i x="784" s="1"/>
        <i x="159" s="1"/>
        <i x="689" s="1"/>
        <i x="220" s="1"/>
        <i x="297" s="1"/>
        <i x="879" s="1"/>
        <i x="995" s="1"/>
        <i x="728" s="1"/>
        <i x="191" s="1"/>
        <i x="774" s="1"/>
        <i x="939" s="1"/>
        <i x="772" s="1"/>
        <i x="521" s="1"/>
        <i x="254" s="1"/>
        <i x="674" s="1"/>
        <i x="7" s="1"/>
        <i x="57" s="1"/>
        <i x="245" s="1"/>
        <i x="168" s="1"/>
        <i x="671" s="1"/>
        <i x="52" s="1"/>
        <i x="63" s="1"/>
        <i x="51" s="1"/>
        <i x="920" s="1"/>
        <i x="727" s="1"/>
        <i x="823" s="1"/>
        <i x="227" s="1"/>
        <i x="75" s="1"/>
        <i x="289" s="1"/>
        <i x="98" s="1"/>
        <i x="676" s="1"/>
        <i x="74" s="1"/>
        <i x="766" s="1"/>
        <i x="372" s="1"/>
        <i x="88" s="1"/>
        <i x="325" s="1"/>
        <i x="501" s="1"/>
        <i x="199" s="1"/>
        <i x="542" s="1"/>
        <i x="631" s="1"/>
        <i x="153" s="1"/>
        <i x="616" s="1"/>
        <i x="136" s="1"/>
        <i x="970" s="1"/>
        <i x="712" s="1"/>
        <i x="354" s="1"/>
        <i x="965" s="1"/>
        <i x="883" s="1"/>
        <i x="344" s="1"/>
        <i x="853" s="1"/>
        <i x="827" s="1"/>
        <i x="678" s="1"/>
        <i x="639" s="1"/>
        <i x="902" s="1"/>
        <i x="651" s="1"/>
        <i x="798" s="1"/>
        <i x="670" s="1"/>
        <i x="483" s="1"/>
        <i x="757" s="1"/>
        <i x="279" s="1"/>
        <i x="125" s="1"/>
        <i x="312" s="1"/>
        <i x="58" s="1"/>
        <i x="893" s="1"/>
        <i x="241" s="1"/>
        <i x="101" s="1"/>
        <i x="531" s="1"/>
        <i x="726" s="1"/>
        <i x="275" s="1"/>
        <i x="865" s="1"/>
        <i x="336" s="1"/>
        <i x="627" s="1"/>
        <i x="710" s="1"/>
        <i x="9" s="1"/>
        <i x="913" s="1"/>
        <i x="484" s="1"/>
        <i x="511" s="1"/>
        <i x="748" s="1"/>
        <i x="958" s="1"/>
        <i x="303" s="1"/>
        <i x="541" s="1"/>
        <i x="358" s="1"/>
        <i x="34" s="1"/>
        <i x="242" s="1"/>
        <i x="626" s="1"/>
        <i x="776" s="1"/>
        <i x="820" s="1"/>
        <i x="558" s="1"/>
        <i x="826" s="1"/>
        <i x="933" s="1"/>
        <i x="482" s="1"/>
        <i x="329" s="1"/>
        <i x="446" s="1"/>
        <i x="924" s="1"/>
        <i x="628" s="1"/>
        <i x="134" s="1"/>
        <i x="749" s="1"/>
        <i x="969" s="1"/>
        <i x="71" s="1"/>
        <i x="860" s="1"/>
        <i x="178" s="1"/>
        <i x="270" s="1"/>
        <i x="10" s="1"/>
        <i x="866" s="1"/>
        <i x="137" s="1"/>
        <i x="634" s="1"/>
        <i x="234" s="1"/>
        <i x="317" s="1"/>
        <i x="758" s="1"/>
        <i x="559" s="1"/>
        <i x="556" s="1"/>
        <i x="935" s="1"/>
        <i x="310" s="1"/>
        <i x="921" s="1"/>
        <i x="342" s="1"/>
        <i x="848" s="1"/>
        <i x="780" s="1"/>
        <i x="896" s="1"/>
        <i x="348" s="1"/>
        <i x="428" s="1"/>
        <i x="213" s="1"/>
        <i x="600" s="1"/>
        <i x="979" s="1"/>
        <i x="352" s="1"/>
        <i x="975" s="1"/>
        <i x="248" s="1"/>
        <i x="550" s="1"/>
        <i x="643" s="1"/>
        <i x="468" s="1"/>
        <i x="737" s="1"/>
        <i x="14" s="1"/>
        <i x="844" s="1"/>
        <i x="530" s="1"/>
        <i x="635" s="1"/>
        <i x="845" s="1"/>
        <i x="434" s="1"/>
        <i x="849" s="1"/>
        <i x="744" s="1"/>
        <i x="692" s="1"/>
        <i x="926" s="1"/>
        <i x="110" s="1"/>
        <i x="27" s="1"/>
        <i x="686" s="1"/>
        <i x="578" s="1"/>
        <i x="225" s="1"/>
        <i x="223" s="1"/>
        <i x="499" s="1"/>
        <i x="611" s="1"/>
        <i x="856" s="1"/>
        <i x="743" s="1"/>
        <i x="73" s="1"/>
        <i x="746" s="1"/>
        <i x="640" s="1"/>
        <i x="278" s="1"/>
        <i x="359" s="1"/>
        <i x="704" s="1"/>
        <i x="154" s="1"/>
        <i x="688" s="1"/>
        <i x="992" s="1"/>
        <i x="544" s="1"/>
        <i x="455" s="1"/>
        <i x="107" s="1"/>
        <i x="206" s="1"/>
        <i x="195" s="1"/>
        <i x="188" s="1"/>
        <i x="987" s="1"/>
        <i x="494" s="1"/>
        <i x="307" s="1"/>
        <i x="835" s="1"/>
        <i x="173" s="1"/>
        <i x="519" s="1"/>
        <i x="960" s="1"/>
        <i x="790" s="1"/>
        <i x="791" s="1"/>
        <i x="485" s="1"/>
        <i x="302" s="1"/>
        <i x="509" s="1"/>
        <i x="867" s="1"/>
        <i x="716" s="1"/>
        <i x="238" s="1"/>
        <i x="549" s="1"/>
        <i x="806" s="1"/>
        <i x="87" s="1"/>
        <i x="155" s="1"/>
        <i x="379" s="1"/>
        <i x="432" s="1"/>
        <i x="224" s="1"/>
        <i x="429" s="1"/>
        <i x="321" s="1"/>
        <i x="215" s="1"/>
        <i x="196" s="1"/>
        <i x="412" s="1"/>
        <i x="141" s="1"/>
        <i x="942" s="1"/>
        <i x="481" s="1"/>
        <i x="291" s="1"/>
        <i x="545" s="1"/>
        <i x="444" s="1"/>
        <i x="86" s="1"/>
        <i x="118" s="1"/>
        <i x="589" s="1"/>
        <i x="156" s="1"/>
        <i x="139" s="1"/>
        <i x="828" s="1"/>
        <i x="91" s="1"/>
        <i x="47" s="1"/>
        <i x="420" s="1"/>
        <i x="266" s="1"/>
        <i x="338" s="1"/>
        <i x="880" s="1"/>
        <i x="646" s="1"/>
        <i x="408" s="1"/>
        <i x="961" s="1"/>
        <i x="332" s="1"/>
        <i x="394" s="1"/>
        <i x="878" s="1"/>
        <i x="259" s="1"/>
        <i x="858" s="1"/>
        <i x="70" s="1"/>
        <i x="864" s="1"/>
        <i x="54" s="1"/>
        <i x="449" s="1"/>
        <i x="158" s="1"/>
        <i x="316" s="1"/>
        <i x="390" s="1"/>
        <i x="796" s="1"/>
        <i x="144" s="1"/>
        <i x="151" s="1"/>
        <i x="135" s="1"/>
        <i x="280" s="1"/>
        <i x="925" s="1"/>
        <i x="783" s="1"/>
        <i x="89" s="1"/>
        <i x="189" s="1"/>
        <i x="142" s="1"/>
        <i x="795" s="1"/>
        <i x="747" s="1"/>
        <i x="653" s="1"/>
        <i x="854" s="1"/>
        <i x="759" s="1"/>
        <i x="75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4302414-07B5-47B9-9F98-D8D0ED4D4600}" sourceName="Product_Category">
  <pivotTables>
    <pivotTable tabId="4" name="PivotTable8"/>
    <pivotTable tabId="4" name="PivotTable1"/>
  </pivotTables>
  <data>
    <tabular pivotCacheId="235449169">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DC3308D4-71B0-4564-A7EB-3BDD6C6F0682}" cache="Slicer_Sales_Rep" caption="Sales_Rep" rowHeight="247650"/>
  <slicer name="Quantity_Sold" xr10:uid="{F6E4A728-BB14-4162-9CDC-2A1A7943DC6A}" cache="Slicer_Quantity_Sold" caption="Quantity_Sold" startItem="2" rowHeight="247650"/>
  <slicer name="Region" xr10:uid="{C512E7FB-C32E-4295-B12E-AC3DF18F00B9}" cache="Slicer_Region" caption="Region" startItem="1" rowHeight="247650"/>
  <slicer name="Sales_Amount" xr10:uid="{C80CC668-9292-4C9E-B99A-D9AD6A754FA9}" cache="Slicer_Sales_Amount" caption="Sales_Amount" startItem="40" rowHeight="247650"/>
  <slicer name="Product_Category" xr10:uid="{0F61038A-46F7-416F-9F80-4664D16B4C3A}" cache="Slicer_Product_Category" caption="Product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FE3399-9F6D-4934-82CF-7B4696390E5F}" name="Table2" displayName="Table2" ref="A1:J1001" totalsRowShown="0">
  <autoFilter ref="A1:J1001" xr:uid="{D3FE3399-9F6D-4934-82CF-7B4696390E5F}"/>
  <tableColumns count="10">
    <tableColumn id="1" xr3:uid="{0EC6632B-91EF-40D4-86E3-AAB3C062BCBD}" name="Product_ID"/>
    <tableColumn id="2" xr3:uid="{A4D60900-540A-4CD8-91AB-BDD64B27C174}" name="Sale_Date" dataDxfId="1"/>
    <tableColumn id="3" xr3:uid="{EC736471-0888-4BB2-9BF4-B321852242F6}" name="Sales_Rep"/>
    <tableColumn id="4" xr3:uid="{88CE0F97-7789-4E99-A2AF-A4CFE513FF73}" name="Region"/>
    <tableColumn id="5" xr3:uid="{A1922CB6-0EA5-43F5-B399-932A4BDCBCD4}" name="Sales_Amount"/>
    <tableColumn id="6" xr3:uid="{69B15054-3C0C-4893-98B0-702FE8F0972B}" name="Quantity_Sold"/>
    <tableColumn id="7" xr3:uid="{B15CF539-C701-4EEF-BA2A-D6B57B4F765E}" name="Product_Category"/>
    <tableColumn id="8" xr3:uid="{64C86897-1CB6-469B-9E32-31831608ABCA}" name="Unit_Cost"/>
    <tableColumn id="9" xr3:uid="{255EA219-D774-43F6-8E2B-6560658A572B}" name="Unit_Price"/>
    <tableColumn id="15" xr3:uid="{393C9223-39A9-4926-A105-765D97575DAE}" name="Profit" dataDxfId="0">
      <calculatedColumnFormula>Table2[[#This Row],[Sales_Amount]]-(Table2[[#This Row],[Quantity_Sold]]*Table2[[#This Row],[Unit_Cost]])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5243-E6E9-4E4F-A466-4DFFFB1E5EA9}">
  <dimension ref="A1:N1001"/>
  <sheetViews>
    <sheetView workbookViewId="0">
      <selection activeCell="D12" sqref="D12"/>
    </sheetView>
  </sheetViews>
  <sheetFormatPr defaultColWidth="12.44140625"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D0D9-9D27-4E86-9EB5-71FA97444747}">
  <dimension ref="A1:L1001"/>
  <sheetViews>
    <sheetView workbookViewId="0">
      <selection activeCell="L11" sqref="L11"/>
    </sheetView>
  </sheetViews>
  <sheetFormatPr defaultRowHeight="14.4" x14ac:dyDescent="0.3"/>
  <cols>
    <col min="1" max="1" width="12" customWidth="1"/>
    <col min="2" max="2" width="11.21875" customWidth="1"/>
    <col min="3" max="3" width="11.44140625" customWidth="1"/>
    <col min="5" max="5" width="14.6640625" customWidth="1"/>
    <col min="6" max="6" width="14.5546875" customWidth="1"/>
    <col min="7" max="7" width="17.5546875" customWidth="1"/>
    <col min="8" max="8" width="10.88671875" customWidth="1"/>
    <col min="9" max="9" width="11.44140625" customWidth="1"/>
    <col min="10" max="10" width="17.21875" customWidth="1"/>
    <col min="11" max="11" width="15" customWidth="1"/>
    <col min="12" max="12" width="12.6640625" style="4" bestFit="1" customWidth="1"/>
  </cols>
  <sheetData>
    <row r="1" spans="1:10" x14ac:dyDescent="0.3">
      <c r="A1" t="s">
        <v>0</v>
      </c>
      <c r="B1" t="s">
        <v>1</v>
      </c>
      <c r="C1" t="s">
        <v>2</v>
      </c>
      <c r="D1" t="s">
        <v>3</v>
      </c>
      <c r="E1" t="s">
        <v>4</v>
      </c>
      <c r="F1" t="s">
        <v>5</v>
      </c>
      <c r="G1" t="s">
        <v>6</v>
      </c>
      <c r="H1" t="s">
        <v>7</v>
      </c>
      <c r="I1" t="s">
        <v>8</v>
      </c>
      <c r="J1" t="s">
        <v>57</v>
      </c>
    </row>
    <row r="2" spans="1:10" x14ac:dyDescent="0.3">
      <c r="A2">
        <v>1052</v>
      </c>
      <c r="B2" s="1">
        <v>44960</v>
      </c>
      <c r="C2" t="s">
        <v>14</v>
      </c>
      <c r="D2" t="s">
        <v>15</v>
      </c>
      <c r="E2">
        <v>10053.969999999999</v>
      </c>
      <c r="F2">
        <v>18</v>
      </c>
      <c r="G2" t="s">
        <v>16</v>
      </c>
      <c r="H2">
        <v>152.75</v>
      </c>
      <c r="I2">
        <v>267.22000000000003</v>
      </c>
      <c r="J2">
        <f>Table2[[#This Row],[Sales_Amount]]-(Table2[[#This Row],[Quantity_Sold]]*Table2[[#This Row],[Unit_Cost]])</f>
        <v>7304.4699999999993</v>
      </c>
    </row>
    <row r="3" spans="1:10" x14ac:dyDescent="0.3">
      <c r="A3">
        <v>1093</v>
      </c>
      <c r="B3" s="1">
        <v>45037</v>
      </c>
      <c r="C3" t="s">
        <v>14</v>
      </c>
      <c r="D3" t="s">
        <v>21</v>
      </c>
      <c r="E3">
        <v>44384.02</v>
      </c>
      <c r="F3">
        <v>17</v>
      </c>
      <c r="G3" t="s">
        <v>16</v>
      </c>
      <c r="H3">
        <v>3816.39</v>
      </c>
      <c r="I3">
        <v>4209.4399999999996</v>
      </c>
      <c r="J3">
        <f>Table2[[#This Row],[Sales_Amount]]-(Table2[[#This Row],[Quantity_Sold]]*Table2[[#This Row],[Unit_Cost]])</f>
        <v>-20494.61</v>
      </c>
    </row>
    <row r="4" spans="1:10" x14ac:dyDescent="0.3">
      <c r="A4">
        <v>1015</v>
      </c>
      <c r="B4" s="1">
        <v>45190</v>
      </c>
      <c r="C4" t="s">
        <v>24</v>
      </c>
      <c r="D4" t="s">
        <v>25</v>
      </c>
      <c r="E4">
        <v>4631.2299999999996</v>
      </c>
      <c r="F4">
        <v>30</v>
      </c>
      <c r="G4" t="s">
        <v>26</v>
      </c>
      <c r="H4">
        <v>261.56</v>
      </c>
      <c r="I4">
        <v>371.4</v>
      </c>
      <c r="J4">
        <f>Table2[[#This Row],[Sales_Amount]]-(Table2[[#This Row],[Quantity_Sold]]*Table2[[#This Row],[Unit_Cost]])</f>
        <v>-3215.5700000000006</v>
      </c>
    </row>
    <row r="5" spans="1:10" x14ac:dyDescent="0.3">
      <c r="A5">
        <v>1072</v>
      </c>
      <c r="B5" s="1">
        <v>45162</v>
      </c>
      <c r="C5" t="s">
        <v>14</v>
      </c>
      <c r="D5" t="s">
        <v>25</v>
      </c>
      <c r="E5">
        <v>22167.94</v>
      </c>
      <c r="F5">
        <v>39</v>
      </c>
      <c r="G5" t="s">
        <v>29</v>
      </c>
      <c r="H5">
        <v>4330.03</v>
      </c>
      <c r="I5">
        <v>4467.75</v>
      </c>
      <c r="J5">
        <f>Table2[[#This Row],[Sales_Amount]]-(Table2[[#This Row],[Quantity_Sold]]*Table2[[#This Row],[Unit_Cost]])</f>
        <v>-146703.22999999998</v>
      </c>
    </row>
    <row r="6" spans="1:10" x14ac:dyDescent="0.3">
      <c r="A6">
        <v>1061</v>
      </c>
      <c r="B6" s="1">
        <v>45009</v>
      </c>
      <c r="C6" t="s">
        <v>33</v>
      </c>
      <c r="D6" t="s">
        <v>34</v>
      </c>
      <c r="E6">
        <v>3750.2</v>
      </c>
      <c r="F6">
        <v>13</v>
      </c>
      <c r="G6" t="s">
        <v>35</v>
      </c>
      <c r="H6">
        <v>637.37</v>
      </c>
      <c r="I6">
        <v>692.71</v>
      </c>
      <c r="J6">
        <f>Table2[[#This Row],[Sales_Amount]]-(Table2[[#This Row],[Quantity_Sold]]*Table2[[#This Row],[Unit_Cost]])</f>
        <v>-4535.6099999999997</v>
      </c>
    </row>
    <row r="7" spans="1:10" x14ac:dyDescent="0.3">
      <c r="A7">
        <v>1021</v>
      </c>
      <c r="B7" s="1">
        <v>44968</v>
      </c>
      <c r="C7" t="s">
        <v>33</v>
      </c>
      <c r="D7" t="s">
        <v>21</v>
      </c>
      <c r="E7">
        <v>3761.15</v>
      </c>
      <c r="F7">
        <v>32</v>
      </c>
      <c r="G7" t="s">
        <v>26</v>
      </c>
      <c r="H7">
        <v>900.79</v>
      </c>
      <c r="I7">
        <v>1106.51</v>
      </c>
      <c r="J7">
        <f>Table2[[#This Row],[Sales_Amount]]-(Table2[[#This Row],[Quantity_Sold]]*Table2[[#This Row],[Unit_Cost]])</f>
        <v>-25064.129999999997</v>
      </c>
    </row>
    <row r="8" spans="1:10" x14ac:dyDescent="0.3">
      <c r="A8">
        <v>1083</v>
      </c>
      <c r="B8" s="1">
        <v>45027</v>
      </c>
      <c r="C8" t="s">
        <v>14</v>
      </c>
      <c r="D8" t="s">
        <v>21</v>
      </c>
      <c r="E8">
        <v>618.30999999999995</v>
      </c>
      <c r="F8">
        <v>29</v>
      </c>
      <c r="G8" t="s">
        <v>16</v>
      </c>
      <c r="H8">
        <v>2408.81</v>
      </c>
      <c r="I8">
        <v>2624.09</v>
      </c>
      <c r="J8">
        <f>Table2[[#This Row],[Sales_Amount]]-(Table2[[#This Row],[Quantity_Sold]]*Table2[[#This Row],[Unit_Cost]])</f>
        <v>-69237.180000000008</v>
      </c>
    </row>
    <row r="9" spans="1:10" x14ac:dyDescent="0.3">
      <c r="A9">
        <v>1087</v>
      </c>
      <c r="B9" s="1">
        <v>44932</v>
      </c>
      <c r="C9" t="s">
        <v>38</v>
      </c>
      <c r="D9" t="s">
        <v>25</v>
      </c>
      <c r="E9">
        <v>7698.92</v>
      </c>
      <c r="F9">
        <v>46</v>
      </c>
      <c r="G9" t="s">
        <v>16</v>
      </c>
      <c r="H9">
        <v>3702.51</v>
      </c>
      <c r="I9">
        <v>3964.65</v>
      </c>
      <c r="J9">
        <f>Table2[[#This Row],[Sales_Amount]]-(Table2[[#This Row],[Quantity_Sold]]*Table2[[#This Row],[Unit_Cost]])</f>
        <v>-162616.54</v>
      </c>
    </row>
    <row r="10" spans="1:10" x14ac:dyDescent="0.3">
      <c r="A10">
        <v>1075</v>
      </c>
      <c r="B10" s="1">
        <v>45106</v>
      </c>
      <c r="C10" t="s">
        <v>24</v>
      </c>
      <c r="D10" t="s">
        <v>25</v>
      </c>
      <c r="E10">
        <v>144223.39000000001</v>
      </c>
      <c r="F10">
        <v>30</v>
      </c>
      <c r="G10" t="s">
        <v>16</v>
      </c>
      <c r="H10">
        <v>738.06</v>
      </c>
      <c r="I10">
        <v>1095.44999999999</v>
      </c>
      <c r="J10">
        <f>Table2[[#This Row],[Sales_Amount]]-(Table2[[#This Row],[Quantity_Sold]]*Table2[[#This Row],[Unit_Cost]])</f>
        <v>122081.59000000001</v>
      </c>
    </row>
    <row r="11" spans="1:10" x14ac:dyDescent="0.3">
      <c r="A11">
        <v>1075</v>
      </c>
      <c r="B11" s="1">
        <v>45208</v>
      </c>
      <c r="C11" t="s">
        <v>33</v>
      </c>
      <c r="D11" t="s">
        <v>21</v>
      </c>
      <c r="E11">
        <v>8239.58</v>
      </c>
      <c r="F11">
        <v>18</v>
      </c>
      <c r="G11" t="s">
        <v>29</v>
      </c>
      <c r="H11">
        <v>2228.35</v>
      </c>
      <c r="I11">
        <v>2682.34</v>
      </c>
      <c r="J11">
        <f>Table2[[#This Row],[Sales_Amount]]-(Table2[[#This Row],[Quantity_Sold]]*Table2[[#This Row],[Unit_Cost]])</f>
        <v>-31870.719999999994</v>
      </c>
    </row>
    <row r="12" spans="1:10" x14ac:dyDescent="0.3">
      <c r="A12">
        <v>1088</v>
      </c>
      <c r="B12" s="1">
        <v>45246</v>
      </c>
      <c r="C12" t="s">
        <v>38</v>
      </c>
      <c r="D12" t="s">
        <v>15</v>
      </c>
      <c r="E12">
        <v>8518.4500000000007</v>
      </c>
      <c r="F12">
        <v>13</v>
      </c>
      <c r="G12" t="s">
        <v>16</v>
      </c>
      <c r="H12">
        <v>2440.11</v>
      </c>
      <c r="I12">
        <v>2517.6</v>
      </c>
      <c r="J12">
        <f>Table2[[#This Row],[Sales_Amount]]-(Table2[[#This Row],[Quantity_Sold]]*Table2[[#This Row],[Unit_Cost]])</f>
        <v>-23202.98</v>
      </c>
    </row>
    <row r="13" spans="1:10" x14ac:dyDescent="0.3">
      <c r="A13">
        <v>1100</v>
      </c>
      <c r="B13" s="1">
        <v>45152</v>
      </c>
      <c r="C13" t="s">
        <v>14</v>
      </c>
      <c r="D13" t="s">
        <v>21</v>
      </c>
      <c r="E13">
        <v>2198.7399999999998</v>
      </c>
      <c r="F13">
        <v>43</v>
      </c>
      <c r="G13" t="s">
        <v>26</v>
      </c>
      <c r="H13">
        <v>1100.81</v>
      </c>
      <c r="I13">
        <v>1137.44</v>
      </c>
      <c r="J13">
        <f>Table2[[#This Row],[Sales_Amount]]-(Table2[[#This Row],[Quantity_Sold]]*Table2[[#This Row],[Unit_Cost]])</f>
        <v>-45136.09</v>
      </c>
    </row>
    <row r="14" spans="1:10" x14ac:dyDescent="0.3">
      <c r="A14">
        <v>1024</v>
      </c>
      <c r="B14" s="1">
        <v>45241</v>
      </c>
      <c r="C14" t="s">
        <v>38</v>
      </c>
      <c r="D14" t="s">
        <v>21</v>
      </c>
      <c r="E14">
        <v>6607.8</v>
      </c>
      <c r="F14">
        <v>21</v>
      </c>
      <c r="G14" t="s">
        <v>26</v>
      </c>
      <c r="H14">
        <v>622.01</v>
      </c>
      <c r="I14">
        <v>641.09</v>
      </c>
      <c r="J14">
        <f>Table2[[#This Row],[Sales_Amount]]-(Table2[[#This Row],[Quantity_Sold]]*Table2[[#This Row],[Unit_Cost]])</f>
        <v>-6454.4099999999989</v>
      </c>
    </row>
    <row r="15" spans="1:10" x14ac:dyDescent="0.3">
      <c r="A15">
        <v>1003</v>
      </c>
      <c r="B15" s="1">
        <v>45291</v>
      </c>
      <c r="C15" t="s">
        <v>42</v>
      </c>
      <c r="D15" t="s">
        <v>25</v>
      </c>
      <c r="E15">
        <v>4775.59</v>
      </c>
      <c r="F15">
        <v>30</v>
      </c>
      <c r="G15" t="s">
        <v>16</v>
      </c>
      <c r="H15">
        <v>4190.28</v>
      </c>
      <c r="I15">
        <v>4270.6499999999996</v>
      </c>
      <c r="J15">
        <f>Table2[[#This Row],[Sales_Amount]]-(Table2[[#This Row],[Quantity_Sold]]*Table2[[#This Row],[Unit_Cost]])</f>
        <v>-120932.81</v>
      </c>
    </row>
    <row r="16" spans="1:10" x14ac:dyDescent="0.3">
      <c r="A16">
        <v>1022</v>
      </c>
      <c r="B16" s="1">
        <v>45155</v>
      </c>
      <c r="C16" t="s">
        <v>33</v>
      </c>
      <c r="D16" t="s">
        <v>25</v>
      </c>
      <c r="E16">
        <v>8813.5499999999993</v>
      </c>
      <c r="F16">
        <v>21</v>
      </c>
      <c r="G16" t="s">
        <v>26</v>
      </c>
      <c r="H16">
        <v>2537.1999999999998</v>
      </c>
      <c r="I16">
        <v>2869.6</v>
      </c>
      <c r="J16">
        <f>Table2[[#This Row],[Sales_Amount]]-(Table2[[#This Row],[Quantity_Sold]]*Table2[[#This Row],[Unit_Cost]])</f>
        <v>-44467.649999999994</v>
      </c>
    </row>
    <row r="17" spans="1:10" x14ac:dyDescent="0.3">
      <c r="A17">
        <v>1053</v>
      </c>
      <c r="B17" s="1">
        <v>45215</v>
      </c>
      <c r="C17" t="s">
        <v>14</v>
      </c>
      <c r="D17" t="s">
        <v>15</v>
      </c>
      <c r="E17">
        <v>2235.83</v>
      </c>
      <c r="F17">
        <v>48</v>
      </c>
      <c r="G17" t="s">
        <v>16</v>
      </c>
      <c r="H17">
        <v>121.19</v>
      </c>
      <c r="I17">
        <v>487.65</v>
      </c>
      <c r="J17">
        <f>Table2[[#This Row],[Sales_Amount]]-(Table2[[#This Row],[Quantity_Sold]]*Table2[[#This Row],[Unit_Cost]])</f>
        <v>-3581.29</v>
      </c>
    </row>
    <row r="18" spans="1:10" x14ac:dyDescent="0.3">
      <c r="A18">
        <v>1002</v>
      </c>
      <c r="B18" s="1">
        <v>45076</v>
      </c>
      <c r="C18" t="s">
        <v>24</v>
      </c>
      <c r="D18" t="s">
        <v>15</v>
      </c>
      <c r="E18">
        <v>6810.35</v>
      </c>
      <c r="F18">
        <v>17</v>
      </c>
      <c r="G18" t="s">
        <v>16</v>
      </c>
      <c r="H18">
        <v>4024.76</v>
      </c>
      <c r="I18">
        <v>4420.1499999999996</v>
      </c>
      <c r="J18">
        <f>Table2[[#This Row],[Sales_Amount]]-(Table2[[#This Row],[Quantity_Sold]]*Table2[[#This Row],[Unit_Cost]])</f>
        <v>-61610.57</v>
      </c>
    </row>
    <row r="19" spans="1:10" x14ac:dyDescent="0.3">
      <c r="A19">
        <v>1088</v>
      </c>
      <c r="B19" s="1">
        <v>45203</v>
      </c>
      <c r="C19" t="s">
        <v>14</v>
      </c>
      <c r="D19" t="s">
        <v>34</v>
      </c>
      <c r="E19">
        <v>6116.75</v>
      </c>
      <c r="F19">
        <v>40</v>
      </c>
      <c r="G19" t="s">
        <v>35</v>
      </c>
      <c r="H19">
        <v>4904.93</v>
      </c>
      <c r="I19">
        <v>5034.3500000000004</v>
      </c>
      <c r="J19">
        <f>Table2[[#This Row],[Sales_Amount]]-(Table2[[#This Row],[Quantity_Sold]]*Table2[[#This Row],[Unit_Cost]])</f>
        <v>-190080.45</v>
      </c>
    </row>
    <row r="20" spans="1:10" x14ac:dyDescent="0.3">
      <c r="A20">
        <v>1030</v>
      </c>
      <c r="B20" s="1">
        <v>45124</v>
      </c>
      <c r="C20" t="s">
        <v>24</v>
      </c>
      <c r="D20" t="s">
        <v>21</v>
      </c>
      <c r="E20">
        <v>3023.48</v>
      </c>
      <c r="F20">
        <v>19</v>
      </c>
      <c r="G20" t="s">
        <v>29</v>
      </c>
      <c r="H20">
        <v>3049.33</v>
      </c>
      <c r="I20">
        <v>3209.22</v>
      </c>
      <c r="J20">
        <f>Table2[[#This Row],[Sales_Amount]]-(Table2[[#This Row],[Quantity_Sold]]*Table2[[#This Row],[Unit_Cost]])</f>
        <v>-54913.789999999994</v>
      </c>
    </row>
    <row r="21" spans="1:10" x14ac:dyDescent="0.3">
      <c r="A21">
        <v>1038</v>
      </c>
      <c r="B21" s="1">
        <v>44996</v>
      </c>
      <c r="C21" t="s">
        <v>14</v>
      </c>
      <c r="D21" t="s">
        <v>25</v>
      </c>
      <c r="E21">
        <v>1452.35</v>
      </c>
      <c r="F21">
        <v>15</v>
      </c>
      <c r="G21" t="s">
        <v>29</v>
      </c>
      <c r="H21">
        <v>2543.36</v>
      </c>
      <c r="I21">
        <v>2790.1</v>
      </c>
      <c r="J21">
        <f>Table2[[#This Row],[Sales_Amount]]-(Table2[[#This Row],[Quantity_Sold]]*Table2[[#This Row],[Unit_Cost]])</f>
        <v>-36698.050000000003</v>
      </c>
    </row>
    <row r="22" spans="1:10" x14ac:dyDescent="0.3">
      <c r="A22">
        <v>1002</v>
      </c>
      <c r="B22" s="1">
        <v>45038</v>
      </c>
      <c r="C22" t="s">
        <v>38</v>
      </c>
      <c r="D22" t="s">
        <v>15</v>
      </c>
      <c r="E22">
        <v>6551.23</v>
      </c>
      <c r="F22">
        <v>9</v>
      </c>
      <c r="G22" t="s">
        <v>35</v>
      </c>
      <c r="H22">
        <v>4398.16</v>
      </c>
      <c r="I22">
        <v>4439.12</v>
      </c>
      <c r="J22">
        <f>Table2[[#This Row],[Sales_Amount]]-(Table2[[#This Row],[Quantity_Sold]]*Table2[[#This Row],[Unit_Cost]])</f>
        <v>-33032.210000000006</v>
      </c>
    </row>
    <row r="23" spans="1:10" x14ac:dyDescent="0.3">
      <c r="A23">
        <v>1064</v>
      </c>
      <c r="B23" s="1">
        <v>44930</v>
      </c>
      <c r="C23" t="s">
        <v>38</v>
      </c>
      <c r="D23" t="s">
        <v>34</v>
      </c>
      <c r="E23">
        <v>7412.11</v>
      </c>
      <c r="F23">
        <v>10</v>
      </c>
      <c r="G23" t="s">
        <v>35</v>
      </c>
      <c r="H23">
        <v>4764.96</v>
      </c>
      <c r="I23">
        <v>5074.42</v>
      </c>
      <c r="J23">
        <f>Table2[[#This Row],[Sales_Amount]]-(Table2[[#This Row],[Quantity_Sold]]*Table2[[#This Row],[Unit_Cost]])</f>
        <v>-40237.49</v>
      </c>
    </row>
    <row r="24" spans="1:10" x14ac:dyDescent="0.3">
      <c r="A24">
        <v>1060</v>
      </c>
      <c r="B24" s="1">
        <v>45276</v>
      </c>
      <c r="C24" t="s">
        <v>38</v>
      </c>
      <c r="D24" t="s">
        <v>34</v>
      </c>
      <c r="E24">
        <v>3224.71</v>
      </c>
      <c r="F24">
        <v>44</v>
      </c>
      <c r="G24" t="s">
        <v>29</v>
      </c>
      <c r="H24">
        <v>3784.96</v>
      </c>
      <c r="I24">
        <v>4276.99</v>
      </c>
      <c r="J24">
        <f>Table2[[#This Row],[Sales_Amount]]-(Table2[[#This Row],[Quantity_Sold]]*Table2[[#This Row],[Unit_Cost]])</f>
        <v>-163313.53</v>
      </c>
    </row>
    <row r="25" spans="1:10" x14ac:dyDescent="0.3">
      <c r="A25">
        <v>1021</v>
      </c>
      <c r="B25" s="1">
        <v>45257</v>
      </c>
      <c r="C25" t="s">
        <v>42</v>
      </c>
      <c r="D25" t="s">
        <v>25</v>
      </c>
      <c r="E25">
        <v>6483.84</v>
      </c>
      <c r="F25">
        <v>31</v>
      </c>
      <c r="G25" t="s">
        <v>16</v>
      </c>
      <c r="H25">
        <v>2254.9899999999998</v>
      </c>
      <c r="I25">
        <v>2441.79</v>
      </c>
      <c r="J25">
        <f>Table2[[#This Row],[Sales_Amount]]-(Table2[[#This Row],[Quantity_Sold]]*Table2[[#This Row],[Unit_Cost]])</f>
        <v>-63420.849999999991</v>
      </c>
    </row>
    <row r="26" spans="1:10" x14ac:dyDescent="0.3">
      <c r="A26">
        <v>1033</v>
      </c>
      <c r="B26" s="1">
        <v>45244</v>
      </c>
      <c r="C26" t="s">
        <v>24</v>
      </c>
      <c r="D26" t="s">
        <v>25</v>
      </c>
      <c r="E26">
        <v>4011.8</v>
      </c>
      <c r="F26">
        <v>23</v>
      </c>
      <c r="G26" t="s">
        <v>16</v>
      </c>
      <c r="H26">
        <v>2981.5</v>
      </c>
      <c r="I26">
        <v>3360.4</v>
      </c>
      <c r="J26">
        <f>Table2[[#This Row],[Sales_Amount]]-(Table2[[#This Row],[Quantity_Sold]]*Table2[[#This Row],[Unit_Cost]])</f>
        <v>-64562.7</v>
      </c>
    </row>
    <row r="27" spans="1:10" x14ac:dyDescent="0.3">
      <c r="A27">
        <v>1076</v>
      </c>
      <c r="B27" s="1">
        <v>45276</v>
      </c>
      <c r="C27" t="s">
        <v>38</v>
      </c>
      <c r="D27" t="s">
        <v>34</v>
      </c>
      <c r="E27">
        <v>7160.75</v>
      </c>
      <c r="F27">
        <v>30</v>
      </c>
      <c r="G27" t="s">
        <v>29</v>
      </c>
      <c r="H27">
        <v>3519.63</v>
      </c>
      <c r="I27">
        <v>3774.65</v>
      </c>
      <c r="J27">
        <f>Table2[[#This Row],[Sales_Amount]]-(Table2[[#This Row],[Quantity_Sold]]*Table2[[#This Row],[Unit_Cost]])</f>
        <v>-98428.150000000009</v>
      </c>
    </row>
    <row r="28" spans="1:10" x14ac:dyDescent="0.3">
      <c r="A28">
        <v>1058</v>
      </c>
      <c r="B28" s="1">
        <v>45021</v>
      </c>
      <c r="C28" t="s">
        <v>42</v>
      </c>
      <c r="D28" t="s">
        <v>15</v>
      </c>
      <c r="E28">
        <v>2072.23</v>
      </c>
      <c r="F28">
        <v>33</v>
      </c>
      <c r="G28" t="s">
        <v>16</v>
      </c>
      <c r="H28">
        <v>1011.65</v>
      </c>
      <c r="I28">
        <v>1084.28</v>
      </c>
      <c r="J28">
        <f>Table2[[#This Row],[Sales_Amount]]-(Table2[[#This Row],[Quantity_Sold]]*Table2[[#This Row],[Unit_Cost]])</f>
        <v>-31312.219999999998</v>
      </c>
    </row>
    <row r="29" spans="1:10" x14ac:dyDescent="0.3">
      <c r="A29">
        <v>1022</v>
      </c>
      <c r="B29" s="1">
        <v>45078</v>
      </c>
      <c r="C29" t="s">
        <v>24</v>
      </c>
      <c r="D29" t="s">
        <v>34</v>
      </c>
      <c r="E29">
        <v>8913.1299999999992</v>
      </c>
      <c r="F29">
        <v>9</v>
      </c>
      <c r="G29" t="s">
        <v>35</v>
      </c>
      <c r="H29">
        <v>2263.65</v>
      </c>
      <c r="I29">
        <v>2558.9499999999998</v>
      </c>
      <c r="J29">
        <f>Table2[[#This Row],[Sales_Amount]]-(Table2[[#This Row],[Quantity_Sold]]*Table2[[#This Row],[Unit_Cost]])</f>
        <v>-11459.720000000003</v>
      </c>
    </row>
    <row r="30" spans="1:10" x14ac:dyDescent="0.3">
      <c r="A30">
        <v>1089</v>
      </c>
      <c r="B30" s="1">
        <v>45237</v>
      </c>
      <c r="C30" t="s">
        <v>14</v>
      </c>
      <c r="D30" t="s">
        <v>21</v>
      </c>
      <c r="E30">
        <v>2945.36</v>
      </c>
      <c r="F30">
        <v>47</v>
      </c>
      <c r="G30" t="s">
        <v>16</v>
      </c>
      <c r="H30">
        <v>4157.62</v>
      </c>
      <c r="I30">
        <v>4314.5599999999904</v>
      </c>
      <c r="J30">
        <f>Table2[[#This Row],[Sales_Amount]]-(Table2[[#This Row],[Quantity_Sold]]*Table2[[#This Row],[Unit_Cost]])</f>
        <v>-192462.78</v>
      </c>
    </row>
    <row r="31" spans="1:10" x14ac:dyDescent="0.3">
      <c r="A31">
        <v>1049</v>
      </c>
      <c r="B31" s="1">
        <v>45063</v>
      </c>
      <c r="C31" t="s">
        <v>42</v>
      </c>
      <c r="D31" t="s">
        <v>21</v>
      </c>
      <c r="E31">
        <v>3741.08</v>
      </c>
      <c r="F31">
        <v>1</v>
      </c>
      <c r="G31" t="s">
        <v>16</v>
      </c>
      <c r="H31">
        <v>3290.89</v>
      </c>
      <c r="I31">
        <v>3317.75</v>
      </c>
      <c r="J31">
        <f>Table2[[#This Row],[Sales_Amount]]-(Table2[[#This Row],[Quantity_Sold]]*Table2[[#This Row],[Unit_Cost]])</f>
        <v>450.19000000000005</v>
      </c>
    </row>
    <row r="32" spans="1:10" x14ac:dyDescent="0.3">
      <c r="A32">
        <v>1091</v>
      </c>
      <c r="B32" s="1">
        <v>45173</v>
      </c>
      <c r="C32" t="s">
        <v>33</v>
      </c>
      <c r="D32" t="s">
        <v>25</v>
      </c>
      <c r="E32">
        <v>675.11</v>
      </c>
      <c r="F32">
        <v>44</v>
      </c>
      <c r="G32" t="s">
        <v>26</v>
      </c>
      <c r="H32">
        <v>2085.46</v>
      </c>
      <c r="I32">
        <v>2406.58</v>
      </c>
      <c r="J32">
        <f>Table2[[#This Row],[Sales_Amount]]-(Table2[[#This Row],[Quantity_Sold]]*Table2[[#This Row],[Unit_Cost]])</f>
        <v>-91085.13</v>
      </c>
    </row>
    <row r="33" spans="1:10" x14ac:dyDescent="0.3">
      <c r="A33">
        <v>1059</v>
      </c>
      <c r="B33" s="1">
        <v>45169</v>
      </c>
      <c r="C33" t="s">
        <v>42</v>
      </c>
      <c r="D33" t="s">
        <v>15</v>
      </c>
      <c r="E33">
        <v>1203.97</v>
      </c>
      <c r="F33">
        <v>35</v>
      </c>
      <c r="G33" t="s">
        <v>26</v>
      </c>
      <c r="H33">
        <v>3333.64</v>
      </c>
      <c r="I33">
        <v>3764.52</v>
      </c>
      <c r="J33">
        <f>Table2[[#This Row],[Sales_Amount]]-(Table2[[#This Row],[Quantity_Sold]]*Table2[[#This Row],[Unit_Cost]])</f>
        <v>-115473.43</v>
      </c>
    </row>
    <row r="34" spans="1:10" x14ac:dyDescent="0.3">
      <c r="A34">
        <v>1042</v>
      </c>
      <c r="B34" s="1">
        <v>44957</v>
      </c>
      <c r="C34" t="s">
        <v>42</v>
      </c>
      <c r="D34" t="s">
        <v>15</v>
      </c>
      <c r="E34">
        <v>5207.03</v>
      </c>
      <c r="F34">
        <v>11</v>
      </c>
      <c r="G34" t="s">
        <v>26</v>
      </c>
      <c r="H34">
        <v>635.20000000000005</v>
      </c>
      <c r="I34">
        <v>814.14</v>
      </c>
      <c r="J34">
        <f>Table2[[#This Row],[Sales_Amount]]-(Table2[[#This Row],[Quantity_Sold]]*Table2[[#This Row],[Unit_Cost]])</f>
        <v>-1780.170000000001</v>
      </c>
    </row>
    <row r="35" spans="1:10" x14ac:dyDescent="0.3">
      <c r="A35">
        <v>1092</v>
      </c>
      <c r="B35" s="1">
        <v>44966</v>
      </c>
      <c r="C35" t="s">
        <v>24</v>
      </c>
      <c r="D35" t="s">
        <v>21</v>
      </c>
      <c r="E35">
        <v>2749.17</v>
      </c>
      <c r="F35">
        <v>34</v>
      </c>
      <c r="G35" t="s">
        <v>16</v>
      </c>
      <c r="H35">
        <v>2037.41</v>
      </c>
      <c r="I35">
        <v>2238.65</v>
      </c>
      <c r="J35">
        <f>Table2[[#This Row],[Sales_Amount]]-(Table2[[#This Row],[Quantity_Sold]]*Table2[[#This Row],[Unit_Cost]])</f>
        <v>-66522.77</v>
      </c>
    </row>
    <row r="36" spans="1:10" x14ac:dyDescent="0.3">
      <c r="A36">
        <v>1060</v>
      </c>
      <c r="B36" s="1">
        <v>45155</v>
      </c>
      <c r="C36" t="s">
        <v>14</v>
      </c>
      <c r="D36" t="s">
        <v>34</v>
      </c>
      <c r="E36">
        <v>8371.25</v>
      </c>
      <c r="F36">
        <v>16</v>
      </c>
      <c r="G36" t="s">
        <v>29</v>
      </c>
      <c r="H36">
        <v>3975.99</v>
      </c>
      <c r="I36">
        <v>4422.59</v>
      </c>
      <c r="J36">
        <f>Table2[[#This Row],[Sales_Amount]]-(Table2[[#This Row],[Quantity_Sold]]*Table2[[#This Row],[Unit_Cost]])</f>
        <v>-55244.59</v>
      </c>
    </row>
    <row r="37" spans="1:10" x14ac:dyDescent="0.3">
      <c r="A37">
        <v>1080</v>
      </c>
      <c r="B37" s="1">
        <v>44962</v>
      </c>
      <c r="C37" t="s">
        <v>33</v>
      </c>
      <c r="D37" t="s">
        <v>25</v>
      </c>
      <c r="E37">
        <v>245.46</v>
      </c>
      <c r="F37">
        <v>9</v>
      </c>
      <c r="G37" t="s">
        <v>35</v>
      </c>
      <c r="H37">
        <v>1141.52</v>
      </c>
      <c r="I37">
        <v>1550.19</v>
      </c>
      <c r="J37">
        <f>Table2[[#This Row],[Sales_Amount]]-(Table2[[#This Row],[Quantity_Sold]]*Table2[[#This Row],[Unit_Cost]])</f>
        <v>-10028.220000000001</v>
      </c>
    </row>
    <row r="38" spans="1:10" x14ac:dyDescent="0.3">
      <c r="A38">
        <v>1015</v>
      </c>
      <c r="B38" s="1">
        <v>45149</v>
      </c>
      <c r="C38" t="s">
        <v>38</v>
      </c>
      <c r="D38" t="s">
        <v>34</v>
      </c>
      <c r="E38">
        <v>3853.03</v>
      </c>
      <c r="F38">
        <v>32</v>
      </c>
      <c r="G38" t="s">
        <v>16</v>
      </c>
      <c r="H38">
        <v>970.51</v>
      </c>
      <c r="I38">
        <v>1330.84</v>
      </c>
      <c r="J38">
        <f>Table2[[#This Row],[Sales_Amount]]-(Table2[[#This Row],[Quantity_Sold]]*Table2[[#This Row],[Unit_Cost]])</f>
        <v>-27203.29</v>
      </c>
    </row>
    <row r="39" spans="1:10" x14ac:dyDescent="0.3">
      <c r="A39">
        <v>1062</v>
      </c>
      <c r="B39" s="1">
        <v>44932</v>
      </c>
      <c r="C39" t="s">
        <v>38</v>
      </c>
      <c r="D39" t="s">
        <v>34</v>
      </c>
      <c r="E39">
        <v>3439.72</v>
      </c>
      <c r="F39">
        <v>15</v>
      </c>
      <c r="G39" t="s">
        <v>29</v>
      </c>
      <c r="H39">
        <v>4756.55</v>
      </c>
      <c r="I39">
        <v>4888.46</v>
      </c>
      <c r="J39">
        <f>Table2[[#This Row],[Sales_Amount]]-(Table2[[#This Row],[Quantity_Sold]]*Table2[[#This Row],[Unit_Cost]])</f>
        <v>-67908.53</v>
      </c>
    </row>
    <row r="40" spans="1:10" x14ac:dyDescent="0.3">
      <c r="A40">
        <v>1062</v>
      </c>
      <c r="B40" s="1">
        <v>45248</v>
      </c>
      <c r="C40" t="s">
        <v>42</v>
      </c>
      <c r="D40" t="s">
        <v>34</v>
      </c>
      <c r="E40">
        <v>291.33999999999997</v>
      </c>
      <c r="F40">
        <v>12</v>
      </c>
      <c r="G40" t="s">
        <v>16</v>
      </c>
      <c r="H40">
        <v>1088.99</v>
      </c>
      <c r="I40">
        <v>1545</v>
      </c>
      <c r="J40">
        <f>Table2[[#This Row],[Sales_Amount]]-(Table2[[#This Row],[Quantity_Sold]]*Table2[[#This Row],[Unit_Cost]])</f>
        <v>-12776.54</v>
      </c>
    </row>
    <row r="41" spans="1:10" x14ac:dyDescent="0.3">
      <c r="A41">
        <v>1047</v>
      </c>
      <c r="B41" s="1">
        <v>45146</v>
      </c>
      <c r="C41" t="s">
        <v>24</v>
      </c>
      <c r="D41" t="s">
        <v>15</v>
      </c>
      <c r="E41">
        <v>1331.25</v>
      </c>
      <c r="F41">
        <v>33</v>
      </c>
      <c r="G41" t="s">
        <v>35</v>
      </c>
      <c r="H41">
        <v>1341.55</v>
      </c>
      <c r="I41">
        <v>1427.21</v>
      </c>
      <c r="J41">
        <f>Table2[[#This Row],[Sales_Amount]]-(Table2[[#This Row],[Quantity_Sold]]*Table2[[#This Row],[Unit_Cost]])</f>
        <v>-42939.9</v>
      </c>
    </row>
    <row r="42" spans="1:10" x14ac:dyDescent="0.3">
      <c r="A42">
        <v>1062</v>
      </c>
      <c r="B42" s="1">
        <v>45001</v>
      </c>
      <c r="C42" t="s">
        <v>24</v>
      </c>
      <c r="D42" t="s">
        <v>21</v>
      </c>
      <c r="E42">
        <v>4195.0600000000004</v>
      </c>
      <c r="F42">
        <v>45</v>
      </c>
      <c r="G42" t="s">
        <v>16</v>
      </c>
      <c r="H42">
        <v>4849.6000000000004</v>
      </c>
      <c r="I42">
        <v>5166.72</v>
      </c>
      <c r="J42">
        <f>Table2[[#This Row],[Sales_Amount]]-(Table2[[#This Row],[Quantity_Sold]]*Table2[[#This Row],[Unit_Cost]])</f>
        <v>-214036.94000000003</v>
      </c>
    </row>
    <row r="43" spans="1:10" x14ac:dyDescent="0.3">
      <c r="A43">
        <v>1051</v>
      </c>
      <c r="B43" s="1">
        <v>44930</v>
      </c>
      <c r="C43" t="s">
        <v>38</v>
      </c>
      <c r="D43" t="s">
        <v>15</v>
      </c>
      <c r="E43">
        <v>4979.3599999999997</v>
      </c>
      <c r="F43">
        <v>14</v>
      </c>
      <c r="G43" t="s">
        <v>35</v>
      </c>
      <c r="H43">
        <v>3686.81</v>
      </c>
      <c r="I43">
        <v>3710.92</v>
      </c>
      <c r="J43">
        <f>Table2[[#This Row],[Sales_Amount]]-(Table2[[#This Row],[Quantity_Sold]]*Table2[[#This Row],[Unit_Cost]])</f>
        <v>-46635.979999999996</v>
      </c>
    </row>
    <row r="44" spans="1:10" x14ac:dyDescent="0.3">
      <c r="A44">
        <v>1055</v>
      </c>
      <c r="B44" s="1">
        <v>45261</v>
      </c>
      <c r="C44" t="s">
        <v>33</v>
      </c>
      <c r="D44" t="s">
        <v>21</v>
      </c>
      <c r="E44">
        <v>4102.47</v>
      </c>
      <c r="F44">
        <v>8</v>
      </c>
      <c r="G44" t="s">
        <v>16</v>
      </c>
      <c r="H44">
        <v>3513</v>
      </c>
      <c r="I44">
        <v>3838.42</v>
      </c>
      <c r="J44">
        <f>Table2[[#This Row],[Sales_Amount]]-(Table2[[#This Row],[Quantity_Sold]]*Table2[[#This Row],[Unit_Cost]])</f>
        <v>-24001.53</v>
      </c>
    </row>
    <row r="45" spans="1:10" x14ac:dyDescent="0.3">
      <c r="A45">
        <v>1064</v>
      </c>
      <c r="B45" s="1">
        <v>45060</v>
      </c>
      <c r="C45" t="s">
        <v>14</v>
      </c>
      <c r="D45" t="s">
        <v>25</v>
      </c>
      <c r="E45">
        <v>5356.28</v>
      </c>
      <c r="F45">
        <v>8</v>
      </c>
      <c r="G45" t="s">
        <v>35</v>
      </c>
      <c r="H45">
        <v>4271.99</v>
      </c>
      <c r="I45">
        <v>4417.79</v>
      </c>
      <c r="J45">
        <f>Table2[[#This Row],[Sales_Amount]]-(Table2[[#This Row],[Quantity_Sold]]*Table2[[#This Row],[Unit_Cost]])</f>
        <v>-28819.64</v>
      </c>
    </row>
    <row r="46" spans="1:10" x14ac:dyDescent="0.3">
      <c r="A46">
        <v>1003</v>
      </c>
      <c r="B46" s="1">
        <v>45044</v>
      </c>
      <c r="C46" t="s">
        <v>33</v>
      </c>
      <c r="D46" t="s">
        <v>25</v>
      </c>
      <c r="E46">
        <v>5991.8</v>
      </c>
      <c r="F46">
        <v>27</v>
      </c>
      <c r="G46" t="s">
        <v>16</v>
      </c>
      <c r="H46">
        <v>623.32000000000005</v>
      </c>
      <c r="I46">
        <v>853.66</v>
      </c>
      <c r="J46">
        <f>Table2[[#This Row],[Sales_Amount]]-(Table2[[#This Row],[Quantity_Sold]]*Table2[[#This Row],[Unit_Cost]])</f>
        <v>-10837.840000000004</v>
      </c>
    </row>
    <row r="47" spans="1:10" x14ac:dyDescent="0.3">
      <c r="A47">
        <v>1051</v>
      </c>
      <c r="B47" s="1">
        <v>45020</v>
      </c>
      <c r="C47" t="s">
        <v>14</v>
      </c>
      <c r="D47" t="s">
        <v>34</v>
      </c>
      <c r="E47">
        <v>198.25</v>
      </c>
      <c r="F47">
        <v>12</v>
      </c>
      <c r="G47" t="s">
        <v>35</v>
      </c>
      <c r="H47">
        <v>3544.48</v>
      </c>
      <c r="I47">
        <v>3723.66</v>
      </c>
      <c r="J47">
        <f>Table2[[#This Row],[Sales_Amount]]-(Table2[[#This Row],[Quantity_Sold]]*Table2[[#This Row],[Unit_Cost]])</f>
        <v>-42335.51</v>
      </c>
    </row>
    <row r="48" spans="1:10" x14ac:dyDescent="0.3">
      <c r="A48">
        <v>1007</v>
      </c>
      <c r="B48" s="1">
        <v>44988</v>
      </c>
      <c r="C48" t="s">
        <v>38</v>
      </c>
      <c r="D48" t="s">
        <v>21</v>
      </c>
      <c r="E48">
        <v>4694.54</v>
      </c>
      <c r="F48">
        <v>1</v>
      </c>
      <c r="G48" t="s">
        <v>26</v>
      </c>
      <c r="H48">
        <v>2543.2600000000002</v>
      </c>
      <c r="I48">
        <v>2637.91</v>
      </c>
      <c r="J48">
        <f>Table2[[#This Row],[Sales_Amount]]-(Table2[[#This Row],[Quantity_Sold]]*Table2[[#This Row],[Unit_Cost]])</f>
        <v>2151.2799999999997</v>
      </c>
    </row>
    <row r="49" spans="1:10" x14ac:dyDescent="0.3">
      <c r="A49">
        <v>1021</v>
      </c>
      <c r="B49" s="1">
        <v>45120</v>
      </c>
      <c r="C49" t="s">
        <v>14</v>
      </c>
      <c r="D49" t="s">
        <v>21</v>
      </c>
      <c r="E49">
        <v>9638.64</v>
      </c>
      <c r="F49">
        <v>43</v>
      </c>
      <c r="G49" t="s">
        <v>16</v>
      </c>
      <c r="H49">
        <v>4154.3</v>
      </c>
      <c r="I49">
        <v>4469.07</v>
      </c>
      <c r="J49">
        <f>Table2[[#This Row],[Sales_Amount]]-(Table2[[#This Row],[Quantity_Sold]]*Table2[[#This Row],[Unit_Cost]])</f>
        <v>-168996.26</v>
      </c>
    </row>
    <row r="50" spans="1:10" x14ac:dyDescent="0.3">
      <c r="A50">
        <v>1073</v>
      </c>
      <c r="B50" s="1">
        <v>45261</v>
      </c>
      <c r="C50" t="s">
        <v>24</v>
      </c>
      <c r="D50" t="s">
        <v>21</v>
      </c>
      <c r="E50">
        <v>5238.42</v>
      </c>
      <c r="F50">
        <v>40</v>
      </c>
      <c r="G50" t="s">
        <v>16</v>
      </c>
      <c r="H50">
        <v>2565.3000000000002</v>
      </c>
      <c r="I50">
        <v>3007.47</v>
      </c>
      <c r="J50">
        <f>Table2[[#This Row],[Sales_Amount]]-(Table2[[#This Row],[Quantity_Sold]]*Table2[[#This Row],[Unit_Cost]])</f>
        <v>-97373.58</v>
      </c>
    </row>
    <row r="51" spans="1:10" x14ac:dyDescent="0.3">
      <c r="A51">
        <v>1039</v>
      </c>
      <c r="B51" s="1">
        <v>45129</v>
      </c>
      <c r="C51" t="s">
        <v>42</v>
      </c>
      <c r="D51" t="s">
        <v>34</v>
      </c>
      <c r="E51">
        <v>6807.67</v>
      </c>
      <c r="F51">
        <v>42</v>
      </c>
      <c r="G51" t="s">
        <v>29</v>
      </c>
      <c r="H51">
        <v>3120.19</v>
      </c>
      <c r="I51">
        <v>3600.14</v>
      </c>
      <c r="J51">
        <f>Table2[[#This Row],[Sales_Amount]]-(Table2[[#This Row],[Quantity_Sold]]*Table2[[#This Row],[Unit_Cost]])</f>
        <v>-124240.31</v>
      </c>
    </row>
    <row r="52" spans="1:10" x14ac:dyDescent="0.3">
      <c r="A52">
        <v>1018</v>
      </c>
      <c r="B52" s="1">
        <v>44952</v>
      </c>
      <c r="C52" t="s">
        <v>42</v>
      </c>
      <c r="D52" t="s">
        <v>34</v>
      </c>
      <c r="E52">
        <v>3187.45</v>
      </c>
      <c r="F52">
        <v>11</v>
      </c>
      <c r="G52" t="s">
        <v>29</v>
      </c>
      <c r="H52">
        <v>2414.8200000000002</v>
      </c>
      <c r="I52">
        <v>2519.0700000000002</v>
      </c>
      <c r="J52">
        <f>Table2[[#This Row],[Sales_Amount]]-(Table2[[#This Row],[Quantity_Sold]]*Table2[[#This Row],[Unit_Cost]])</f>
        <v>-23375.57</v>
      </c>
    </row>
    <row r="53" spans="1:10" x14ac:dyDescent="0.3">
      <c r="A53">
        <v>1004</v>
      </c>
      <c r="B53" s="1">
        <v>45099</v>
      </c>
      <c r="C53" t="s">
        <v>38</v>
      </c>
      <c r="D53" t="s">
        <v>25</v>
      </c>
      <c r="E53">
        <v>7762.51</v>
      </c>
      <c r="F53">
        <v>39</v>
      </c>
      <c r="G53" t="s">
        <v>35</v>
      </c>
      <c r="H53">
        <v>2416.89</v>
      </c>
      <c r="I53">
        <v>2778.3999999999901</v>
      </c>
      <c r="J53">
        <f>Table2[[#This Row],[Sales_Amount]]-(Table2[[#This Row],[Quantity_Sold]]*Table2[[#This Row],[Unit_Cost]])</f>
        <v>-86496.2</v>
      </c>
    </row>
    <row r="54" spans="1:10" x14ac:dyDescent="0.3">
      <c r="A54">
        <v>1089</v>
      </c>
      <c r="B54" s="1">
        <v>45226</v>
      </c>
      <c r="C54" t="s">
        <v>24</v>
      </c>
      <c r="D54" t="s">
        <v>15</v>
      </c>
      <c r="E54">
        <v>7751.92</v>
      </c>
      <c r="F54">
        <v>43</v>
      </c>
      <c r="G54" t="s">
        <v>16</v>
      </c>
      <c r="H54">
        <v>3851.45</v>
      </c>
      <c r="I54">
        <v>4186.9799999999996</v>
      </c>
      <c r="J54">
        <f>Table2[[#This Row],[Sales_Amount]]-(Table2[[#This Row],[Quantity_Sold]]*Table2[[#This Row],[Unit_Cost]])</f>
        <v>-157860.43</v>
      </c>
    </row>
    <row r="55" spans="1:10" x14ac:dyDescent="0.3">
      <c r="A55">
        <v>1060</v>
      </c>
      <c r="B55" s="1">
        <v>45059</v>
      </c>
      <c r="C55" t="s">
        <v>33</v>
      </c>
      <c r="D55" t="s">
        <v>21</v>
      </c>
      <c r="E55">
        <v>5260.83</v>
      </c>
      <c r="F55">
        <v>31</v>
      </c>
      <c r="G55" t="s">
        <v>35</v>
      </c>
      <c r="H55">
        <v>3161.4</v>
      </c>
      <c r="I55">
        <v>3339.66</v>
      </c>
      <c r="J55">
        <f>Table2[[#This Row],[Sales_Amount]]-(Table2[[#This Row],[Quantity_Sold]]*Table2[[#This Row],[Unit_Cost]])</f>
        <v>-92742.57</v>
      </c>
    </row>
    <row r="56" spans="1:10" x14ac:dyDescent="0.3">
      <c r="A56">
        <v>1014</v>
      </c>
      <c r="B56" s="1">
        <v>45252</v>
      </c>
      <c r="C56" t="s">
        <v>24</v>
      </c>
      <c r="D56" t="s">
        <v>21</v>
      </c>
      <c r="E56">
        <v>9762.5400000000009</v>
      </c>
      <c r="F56">
        <v>17</v>
      </c>
      <c r="G56" t="s">
        <v>26</v>
      </c>
      <c r="H56">
        <v>3184.65</v>
      </c>
      <c r="I56">
        <v>3204.01</v>
      </c>
      <c r="J56">
        <f>Table2[[#This Row],[Sales_Amount]]-(Table2[[#This Row],[Quantity_Sold]]*Table2[[#This Row],[Unit_Cost]])</f>
        <v>-44376.51</v>
      </c>
    </row>
    <row r="57" spans="1:10" x14ac:dyDescent="0.3">
      <c r="A57">
        <v>1009</v>
      </c>
      <c r="B57" s="1">
        <v>45044</v>
      </c>
      <c r="C57" t="s">
        <v>42</v>
      </c>
      <c r="D57" t="s">
        <v>15</v>
      </c>
      <c r="E57">
        <v>1342.95</v>
      </c>
      <c r="F57">
        <v>33</v>
      </c>
      <c r="G57" t="s">
        <v>29</v>
      </c>
      <c r="H57">
        <v>2278.9</v>
      </c>
      <c r="I57">
        <v>2626.9</v>
      </c>
      <c r="J57">
        <f>Table2[[#This Row],[Sales_Amount]]-(Table2[[#This Row],[Quantity_Sold]]*Table2[[#This Row],[Unit_Cost]])</f>
        <v>-73860.75</v>
      </c>
    </row>
    <row r="58" spans="1:10" x14ac:dyDescent="0.3">
      <c r="A58">
        <v>1090</v>
      </c>
      <c r="B58" s="1">
        <v>45250</v>
      </c>
      <c r="C58" t="s">
        <v>42</v>
      </c>
      <c r="D58" t="s">
        <v>21</v>
      </c>
      <c r="E58">
        <v>267.77999999999997</v>
      </c>
      <c r="F58">
        <v>32</v>
      </c>
      <c r="G58" t="s">
        <v>35</v>
      </c>
      <c r="H58">
        <v>2678.99</v>
      </c>
      <c r="I58">
        <v>3152.2799999999902</v>
      </c>
      <c r="J58">
        <f>Table2[[#This Row],[Sales_Amount]]-(Table2[[#This Row],[Quantity_Sold]]*Table2[[#This Row],[Unit_Cost]])</f>
        <v>-85459.9</v>
      </c>
    </row>
    <row r="59" spans="1:10" x14ac:dyDescent="0.3">
      <c r="A59">
        <v>1053</v>
      </c>
      <c r="B59" s="1">
        <v>45201</v>
      </c>
      <c r="C59" t="s">
        <v>24</v>
      </c>
      <c r="D59" t="s">
        <v>34</v>
      </c>
      <c r="E59">
        <v>7724.57</v>
      </c>
      <c r="F59">
        <v>29</v>
      </c>
      <c r="G59" t="s">
        <v>35</v>
      </c>
      <c r="H59">
        <v>3741.3</v>
      </c>
      <c r="I59">
        <v>4061.04</v>
      </c>
      <c r="J59">
        <f>Table2[[#This Row],[Sales_Amount]]-(Table2[[#This Row],[Quantity_Sold]]*Table2[[#This Row],[Unit_Cost]])</f>
        <v>-100773.13</v>
      </c>
    </row>
    <row r="60" spans="1:10" x14ac:dyDescent="0.3">
      <c r="A60">
        <v>1002</v>
      </c>
      <c r="B60" s="1">
        <v>45138</v>
      </c>
      <c r="C60" t="s">
        <v>24</v>
      </c>
      <c r="D60" t="s">
        <v>34</v>
      </c>
      <c r="E60">
        <v>8090.84</v>
      </c>
      <c r="F60">
        <v>21</v>
      </c>
      <c r="G60" t="s">
        <v>29</v>
      </c>
      <c r="H60">
        <v>4138.41</v>
      </c>
      <c r="I60">
        <v>4361.7</v>
      </c>
      <c r="J60">
        <f>Table2[[#This Row],[Sales_Amount]]-(Table2[[#This Row],[Quantity_Sold]]*Table2[[#This Row],[Unit_Cost]])</f>
        <v>-78815.77</v>
      </c>
    </row>
    <row r="61" spans="1:10" x14ac:dyDescent="0.3">
      <c r="A61">
        <v>1084</v>
      </c>
      <c r="B61" s="1">
        <v>45151</v>
      </c>
      <c r="C61" t="s">
        <v>42</v>
      </c>
      <c r="D61" t="s">
        <v>21</v>
      </c>
      <c r="E61">
        <v>1290.05</v>
      </c>
      <c r="F61">
        <v>21</v>
      </c>
      <c r="G61" t="s">
        <v>16</v>
      </c>
      <c r="H61">
        <v>3497.98</v>
      </c>
      <c r="I61">
        <v>3765.31</v>
      </c>
      <c r="J61">
        <f>Table2[[#This Row],[Sales_Amount]]-(Table2[[#This Row],[Quantity_Sold]]*Table2[[#This Row],[Unit_Cost]])</f>
        <v>-72167.53</v>
      </c>
    </row>
    <row r="62" spans="1:10" x14ac:dyDescent="0.3">
      <c r="A62">
        <v>1092</v>
      </c>
      <c r="B62" s="1">
        <v>44946</v>
      </c>
      <c r="C62" t="s">
        <v>33</v>
      </c>
      <c r="D62" t="s">
        <v>34</v>
      </c>
      <c r="E62">
        <v>2729.27</v>
      </c>
      <c r="F62">
        <v>40</v>
      </c>
      <c r="G62" t="s">
        <v>35</v>
      </c>
      <c r="H62">
        <v>4624.16</v>
      </c>
      <c r="I62">
        <v>4731.9799999999996</v>
      </c>
      <c r="J62">
        <f>Table2[[#This Row],[Sales_Amount]]-(Table2[[#This Row],[Quantity_Sold]]*Table2[[#This Row],[Unit_Cost]])</f>
        <v>-182237.13</v>
      </c>
    </row>
    <row r="63" spans="1:10" x14ac:dyDescent="0.3">
      <c r="A63">
        <v>1060</v>
      </c>
      <c r="B63" s="1">
        <v>45039</v>
      </c>
      <c r="C63" t="s">
        <v>38</v>
      </c>
      <c r="D63" t="s">
        <v>34</v>
      </c>
      <c r="E63">
        <v>273.77</v>
      </c>
      <c r="F63">
        <v>23</v>
      </c>
      <c r="G63" t="s">
        <v>29</v>
      </c>
      <c r="H63">
        <v>4110.6000000000004</v>
      </c>
      <c r="I63">
        <v>4488.37</v>
      </c>
      <c r="J63">
        <f>Table2[[#This Row],[Sales_Amount]]-(Table2[[#This Row],[Quantity_Sold]]*Table2[[#This Row],[Unit_Cost]])</f>
        <v>-94270.03</v>
      </c>
    </row>
    <row r="64" spans="1:10" x14ac:dyDescent="0.3">
      <c r="A64">
        <v>1071</v>
      </c>
      <c r="B64" s="1">
        <v>45066</v>
      </c>
      <c r="C64" t="s">
        <v>38</v>
      </c>
      <c r="D64" t="s">
        <v>21</v>
      </c>
      <c r="E64">
        <v>3003.76</v>
      </c>
      <c r="F64">
        <v>6</v>
      </c>
      <c r="G64" t="s">
        <v>16</v>
      </c>
      <c r="H64">
        <v>2831.23</v>
      </c>
      <c r="I64">
        <v>3206.98</v>
      </c>
      <c r="J64">
        <f>Table2[[#This Row],[Sales_Amount]]-(Table2[[#This Row],[Quantity_Sold]]*Table2[[#This Row],[Unit_Cost]])</f>
        <v>-13983.62</v>
      </c>
    </row>
    <row r="65" spans="1:10" x14ac:dyDescent="0.3">
      <c r="A65">
        <v>1044</v>
      </c>
      <c r="B65" s="1">
        <v>44973</v>
      </c>
      <c r="C65" t="s">
        <v>24</v>
      </c>
      <c r="D65" t="s">
        <v>25</v>
      </c>
      <c r="E65">
        <v>7754.1</v>
      </c>
      <c r="F65">
        <v>22</v>
      </c>
      <c r="G65" t="s">
        <v>26</v>
      </c>
      <c r="H65">
        <v>3373.46</v>
      </c>
      <c r="I65">
        <v>3454.76</v>
      </c>
      <c r="J65">
        <f>Table2[[#This Row],[Sales_Amount]]-(Table2[[#This Row],[Quantity_Sold]]*Table2[[#This Row],[Unit_Cost]])</f>
        <v>-66462.01999999999</v>
      </c>
    </row>
    <row r="66" spans="1:10" x14ac:dyDescent="0.3">
      <c r="A66">
        <v>1008</v>
      </c>
      <c r="B66" s="1">
        <v>44927</v>
      </c>
      <c r="C66" t="s">
        <v>38</v>
      </c>
      <c r="D66" t="s">
        <v>15</v>
      </c>
      <c r="E66">
        <v>5227.8100000000004</v>
      </c>
      <c r="F66">
        <v>38</v>
      </c>
      <c r="G66" t="s">
        <v>29</v>
      </c>
      <c r="H66">
        <v>4635.2299999999996</v>
      </c>
      <c r="I66">
        <v>5075.4399999999996</v>
      </c>
      <c r="J66">
        <f>Table2[[#This Row],[Sales_Amount]]-(Table2[[#This Row],[Quantity_Sold]]*Table2[[#This Row],[Unit_Cost]])</f>
        <v>-170910.93</v>
      </c>
    </row>
    <row r="67" spans="1:10" x14ac:dyDescent="0.3">
      <c r="A67">
        <v>1047</v>
      </c>
      <c r="B67" s="1">
        <v>45016</v>
      </c>
      <c r="C67" t="s">
        <v>42</v>
      </c>
      <c r="D67" t="s">
        <v>34</v>
      </c>
      <c r="E67">
        <v>3546.15</v>
      </c>
      <c r="F67">
        <v>37</v>
      </c>
      <c r="G67" t="s">
        <v>35</v>
      </c>
      <c r="H67">
        <v>3114.88</v>
      </c>
      <c r="I67">
        <v>3256.78</v>
      </c>
      <c r="J67">
        <f>Table2[[#This Row],[Sales_Amount]]-(Table2[[#This Row],[Quantity_Sold]]*Table2[[#This Row],[Unit_Cost]])</f>
        <v>-111704.41</v>
      </c>
    </row>
    <row r="68" spans="1:10" x14ac:dyDescent="0.3">
      <c r="A68">
        <v>1035</v>
      </c>
      <c r="B68" s="1">
        <v>45068</v>
      </c>
      <c r="C68" t="s">
        <v>42</v>
      </c>
      <c r="D68" t="s">
        <v>25</v>
      </c>
      <c r="E68">
        <v>3780.22</v>
      </c>
      <c r="F68">
        <v>45</v>
      </c>
      <c r="G68" t="s">
        <v>26</v>
      </c>
      <c r="H68">
        <v>4132.79</v>
      </c>
      <c r="I68">
        <v>4624.1000000000004</v>
      </c>
      <c r="J68">
        <f>Table2[[#This Row],[Sales_Amount]]-(Table2[[#This Row],[Quantity_Sold]]*Table2[[#This Row],[Unit_Cost]])</f>
        <v>-182195.33</v>
      </c>
    </row>
    <row r="69" spans="1:10" x14ac:dyDescent="0.3">
      <c r="A69">
        <v>1078</v>
      </c>
      <c r="B69" s="1">
        <v>45246</v>
      </c>
      <c r="C69" t="s">
        <v>24</v>
      </c>
      <c r="D69" t="s">
        <v>34</v>
      </c>
      <c r="E69">
        <v>113.4</v>
      </c>
      <c r="F69">
        <v>8</v>
      </c>
      <c r="G69" t="s">
        <v>16</v>
      </c>
      <c r="H69">
        <v>3459.61</v>
      </c>
      <c r="I69">
        <v>3657.23</v>
      </c>
      <c r="J69">
        <f>Table2[[#This Row],[Sales_Amount]]-(Table2[[#This Row],[Quantity_Sold]]*Table2[[#This Row],[Unit_Cost]])</f>
        <v>-27563.48</v>
      </c>
    </row>
    <row r="70" spans="1:10" x14ac:dyDescent="0.3">
      <c r="A70">
        <v>1081</v>
      </c>
      <c r="B70" s="1">
        <v>44964</v>
      </c>
      <c r="C70" t="s">
        <v>24</v>
      </c>
      <c r="D70" t="s">
        <v>34</v>
      </c>
      <c r="E70">
        <v>3068.03</v>
      </c>
      <c r="F70">
        <v>41</v>
      </c>
      <c r="G70" t="s">
        <v>16</v>
      </c>
      <c r="H70">
        <v>2782.08</v>
      </c>
      <c r="I70">
        <v>2879.24</v>
      </c>
      <c r="J70">
        <f>Table2[[#This Row],[Sales_Amount]]-(Table2[[#This Row],[Quantity_Sold]]*Table2[[#This Row],[Unit_Cost]])</f>
        <v>-110997.25</v>
      </c>
    </row>
    <row r="71" spans="1:10" x14ac:dyDescent="0.3">
      <c r="A71">
        <v>1036</v>
      </c>
      <c r="B71" s="1">
        <v>45219</v>
      </c>
      <c r="C71" t="s">
        <v>24</v>
      </c>
      <c r="D71" t="s">
        <v>15</v>
      </c>
      <c r="E71">
        <v>6499.94</v>
      </c>
      <c r="F71">
        <v>49</v>
      </c>
      <c r="G71" t="s">
        <v>29</v>
      </c>
      <c r="H71">
        <v>1247.0999999999999</v>
      </c>
      <c r="I71">
        <v>1429.4399999999901</v>
      </c>
      <c r="J71">
        <f>Table2[[#This Row],[Sales_Amount]]-(Table2[[#This Row],[Quantity_Sold]]*Table2[[#This Row],[Unit_Cost]])</f>
        <v>-54607.959999999992</v>
      </c>
    </row>
    <row r="72" spans="1:10" x14ac:dyDescent="0.3">
      <c r="A72">
        <v>1050</v>
      </c>
      <c r="B72" s="1">
        <v>45065</v>
      </c>
      <c r="C72" t="s">
        <v>33</v>
      </c>
      <c r="D72" t="s">
        <v>34</v>
      </c>
      <c r="E72">
        <v>9744.52</v>
      </c>
      <c r="F72">
        <v>35</v>
      </c>
      <c r="G72" t="s">
        <v>29</v>
      </c>
      <c r="H72">
        <v>2158.69</v>
      </c>
      <c r="I72">
        <v>2384.38</v>
      </c>
      <c r="J72">
        <f>Table2[[#This Row],[Sales_Amount]]-(Table2[[#This Row],[Quantity_Sold]]*Table2[[#This Row],[Unit_Cost]])</f>
        <v>-65809.63</v>
      </c>
    </row>
    <row r="73" spans="1:10" x14ac:dyDescent="0.3">
      <c r="A73">
        <v>1004</v>
      </c>
      <c r="B73" s="1">
        <v>45282</v>
      </c>
      <c r="C73" t="s">
        <v>38</v>
      </c>
      <c r="D73" t="s">
        <v>15</v>
      </c>
      <c r="E73">
        <v>8485.9</v>
      </c>
      <c r="F73">
        <v>11</v>
      </c>
      <c r="G73" t="s">
        <v>29</v>
      </c>
      <c r="H73">
        <v>4840.33</v>
      </c>
      <c r="I73">
        <v>4884.29</v>
      </c>
      <c r="J73">
        <f>Table2[[#This Row],[Sales_Amount]]-(Table2[[#This Row],[Quantity_Sold]]*Table2[[#This Row],[Unit_Cost]])</f>
        <v>-44757.729999999996</v>
      </c>
    </row>
    <row r="74" spans="1:10" x14ac:dyDescent="0.3">
      <c r="A74">
        <v>1002</v>
      </c>
      <c r="B74" s="1">
        <v>45259</v>
      </c>
      <c r="C74" t="s">
        <v>24</v>
      </c>
      <c r="D74" t="s">
        <v>15</v>
      </c>
      <c r="E74">
        <v>333.59</v>
      </c>
      <c r="F74">
        <v>24</v>
      </c>
      <c r="G74" t="s">
        <v>16</v>
      </c>
      <c r="H74">
        <v>3305.94</v>
      </c>
      <c r="I74">
        <v>3599.27</v>
      </c>
      <c r="J74">
        <f>Table2[[#This Row],[Sales_Amount]]-(Table2[[#This Row],[Quantity_Sold]]*Table2[[#This Row],[Unit_Cost]])</f>
        <v>-79008.97</v>
      </c>
    </row>
    <row r="75" spans="1:10" x14ac:dyDescent="0.3">
      <c r="A75">
        <v>1006</v>
      </c>
      <c r="B75" s="1">
        <v>45185</v>
      </c>
      <c r="C75" t="s">
        <v>14</v>
      </c>
      <c r="D75" t="s">
        <v>15</v>
      </c>
      <c r="E75">
        <v>8995.75</v>
      </c>
      <c r="F75">
        <v>49</v>
      </c>
      <c r="G75" t="s">
        <v>26</v>
      </c>
      <c r="H75">
        <v>2843.76</v>
      </c>
      <c r="I75">
        <v>3146.6</v>
      </c>
      <c r="J75">
        <f>Table2[[#This Row],[Sales_Amount]]-(Table2[[#This Row],[Quantity_Sold]]*Table2[[#This Row],[Unit_Cost]])</f>
        <v>-130348.49000000002</v>
      </c>
    </row>
    <row r="76" spans="1:10" x14ac:dyDescent="0.3">
      <c r="A76">
        <v>1054</v>
      </c>
      <c r="B76" s="1">
        <v>45087</v>
      </c>
      <c r="C76" t="s">
        <v>14</v>
      </c>
      <c r="D76" t="s">
        <v>25</v>
      </c>
      <c r="E76">
        <v>7853.66</v>
      </c>
      <c r="F76">
        <v>21</v>
      </c>
      <c r="G76" t="s">
        <v>16</v>
      </c>
      <c r="H76">
        <v>4668.1400000000003</v>
      </c>
      <c r="I76">
        <v>5040.22</v>
      </c>
      <c r="J76">
        <f>Table2[[#This Row],[Sales_Amount]]-(Table2[[#This Row],[Quantity_Sold]]*Table2[[#This Row],[Unit_Cost]])</f>
        <v>-90177.279999999999</v>
      </c>
    </row>
    <row r="77" spans="1:10" x14ac:dyDescent="0.3">
      <c r="A77">
        <v>1004</v>
      </c>
      <c r="B77" s="1">
        <v>45104</v>
      </c>
      <c r="C77" t="s">
        <v>42</v>
      </c>
      <c r="D77" t="s">
        <v>21</v>
      </c>
      <c r="E77">
        <v>7825.72</v>
      </c>
      <c r="F77">
        <v>2</v>
      </c>
      <c r="G77" t="s">
        <v>35</v>
      </c>
      <c r="H77">
        <v>2953.23</v>
      </c>
      <c r="I77">
        <v>2977.52</v>
      </c>
      <c r="J77">
        <f>Table2[[#This Row],[Sales_Amount]]-(Table2[[#This Row],[Quantity_Sold]]*Table2[[#This Row],[Unit_Cost]])</f>
        <v>1919.2600000000002</v>
      </c>
    </row>
    <row r="78" spans="1:10" x14ac:dyDescent="0.3">
      <c r="A78">
        <v>1054</v>
      </c>
      <c r="B78" s="1">
        <v>44936</v>
      </c>
      <c r="C78" t="s">
        <v>38</v>
      </c>
      <c r="D78" t="s">
        <v>25</v>
      </c>
      <c r="E78">
        <v>4634.16</v>
      </c>
      <c r="F78">
        <v>40</v>
      </c>
      <c r="G78" t="s">
        <v>16</v>
      </c>
      <c r="H78">
        <v>2654.11</v>
      </c>
      <c r="I78">
        <v>2929.32</v>
      </c>
      <c r="J78">
        <f>Table2[[#This Row],[Sales_Amount]]-(Table2[[#This Row],[Quantity_Sold]]*Table2[[#This Row],[Unit_Cost]])</f>
        <v>-101530.24000000001</v>
      </c>
    </row>
    <row r="79" spans="1:10" x14ac:dyDescent="0.3">
      <c r="A79">
        <v>1093</v>
      </c>
      <c r="B79" s="1">
        <v>45187</v>
      </c>
      <c r="C79" t="s">
        <v>24</v>
      </c>
      <c r="D79" t="s">
        <v>21</v>
      </c>
      <c r="E79">
        <v>4040.25</v>
      </c>
      <c r="F79">
        <v>19</v>
      </c>
      <c r="G79" t="s">
        <v>35</v>
      </c>
      <c r="H79">
        <v>3808.59</v>
      </c>
      <c r="I79">
        <v>3844.51</v>
      </c>
      <c r="J79">
        <f>Table2[[#This Row],[Sales_Amount]]-(Table2[[#This Row],[Quantity_Sold]]*Table2[[#This Row],[Unit_Cost]])</f>
        <v>-68322.960000000006</v>
      </c>
    </row>
    <row r="80" spans="1:10" x14ac:dyDescent="0.3">
      <c r="A80">
        <v>1063</v>
      </c>
      <c r="B80" s="1">
        <v>45064</v>
      </c>
      <c r="C80" t="s">
        <v>14</v>
      </c>
      <c r="D80" t="s">
        <v>21</v>
      </c>
      <c r="E80">
        <v>3098.87</v>
      </c>
      <c r="F80">
        <v>39</v>
      </c>
      <c r="G80" t="s">
        <v>26</v>
      </c>
      <c r="H80">
        <v>3577.69</v>
      </c>
      <c r="I80">
        <v>3931.25</v>
      </c>
      <c r="J80">
        <f>Table2[[#This Row],[Sales_Amount]]-(Table2[[#This Row],[Quantity_Sold]]*Table2[[#This Row],[Unit_Cost]])</f>
        <v>-136431.04000000001</v>
      </c>
    </row>
    <row r="81" spans="1:10" x14ac:dyDescent="0.3">
      <c r="A81">
        <v>1018</v>
      </c>
      <c r="B81" s="1">
        <v>45098</v>
      </c>
      <c r="C81" t="s">
        <v>38</v>
      </c>
      <c r="D81" t="s">
        <v>15</v>
      </c>
      <c r="E81">
        <v>750.38</v>
      </c>
      <c r="F81">
        <v>28</v>
      </c>
      <c r="G81" t="s">
        <v>29</v>
      </c>
      <c r="H81">
        <v>1006.14</v>
      </c>
      <c r="I81">
        <v>1043.45</v>
      </c>
      <c r="J81">
        <f>Table2[[#This Row],[Sales_Amount]]-(Table2[[#This Row],[Quantity_Sold]]*Table2[[#This Row],[Unit_Cost]])</f>
        <v>-27421.539999999997</v>
      </c>
    </row>
    <row r="82" spans="1:10" x14ac:dyDescent="0.3">
      <c r="A82">
        <v>1090</v>
      </c>
      <c r="B82" s="1">
        <v>44939</v>
      </c>
      <c r="C82" t="s">
        <v>42</v>
      </c>
      <c r="D82" t="s">
        <v>34</v>
      </c>
      <c r="E82">
        <v>2359.5300000000002</v>
      </c>
      <c r="F82">
        <v>17</v>
      </c>
      <c r="G82" t="s">
        <v>29</v>
      </c>
      <c r="H82">
        <v>2382.98</v>
      </c>
      <c r="I82">
        <v>2839.73</v>
      </c>
      <c r="J82">
        <f>Table2[[#This Row],[Sales_Amount]]-(Table2[[#This Row],[Quantity_Sold]]*Table2[[#This Row],[Unit_Cost]])</f>
        <v>-38151.130000000005</v>
      </c>
    </row>
    <row r="83" spans="1:10" x14ac:dyDescent="0.3">
      <c r="A83">
        <v>1044</v>
      </c>
      <c r="B83" s="1">
        <v>45094</v>
      </c>
      <c r="C83" t="s">
        <v>33</v>
      </c>
      <c r="D83" t="s">
        <v>15</v>
      </c>
      <c r="E83">
        <v>2541.38</v>
      </c>
      <c r="F83">
        <v>6</v>
      </c>
      <c r="G83" t="s">
        <v>16</v>
      </c>
      <c r="H83">
        <v>2388.9499999999998</v>
      </c>
      <c r="I83">
        <v>2742.97</v>
      </c>
      <c r="J83">
        <f>Table2[[#This Row],[Sales_Amount]]-(Table2[[#This Row],[Quantity_Sold]]*Table2[[#This Row],[Unit_Cost]])</f>
        <v>-11792.32</v>
      </c>
    </row>
    <row r="84" spans="1:10" x14ac:dyDescent="0.3">
      <c r="A84">
        <v>1034</v>
      </c>
      <c r="B84" s="1">
        <v>45056</v>
      </c>
      <c r="C84" t="s">
        <v>38</v>
      </c>
      <c r="D84" t="s">
        <v>34</v>
      </c>
      <c r="E84">
        <v>4892.3599999999997</v>
      </c>
      <c r="F84">
        <v>19</v>
      </c>
      <c r="G84" t="s">
        <v>29</v>
      </c>
      <c r="H84">
        <v>1922.21</v>
      </c>
      <c r="I84">
        <v>2180.83</v>
      </c>
      <c r="J84">
        <f>Table2[[#This Row],[Sales_Amount]]-(Table2[[#This Row],[Quantity_Sold]]*Table2[[#This Row],[Unit_Cost]])</f>
        <v>-31629.629999999997</v>
      </c>
    </row>
    <row r="85" spans="1:10" x14ac:dyDescent="0.3">
      <c r="A85">
        <v>1074</v>
      </c>
      <c r="B85" s="1">
        <v>45010</v>
      </c>
      <c r="C85" t="s">
        <v>38</v>
      </c>
      <c r="D85" t="s">
        <v>21</v>
      </c>
      <c r="E85">
        <v>7499.7</v>
      </c>
      <c r="F85">
        <v>38</v>
      </c>
      <c r="G85" t="s">
        <v>26</v>
      </c>
      <c r="H85">
        <v>2610.6</v>
      </c>
      <c r="I85">
        <v>2836.94</v>
      </c>
      <c r="J85">
        <f>Table2[[#This Row],[Sales_Amount]]-(Table2[[#This Row],[Quantity_Sold]]*Table2[[#This Row],[Unit_Cost]])</f>
        <v>-91703.1</v>
      </c>
    </row>
    <row r="86" spans="1:10" x14ac:dyDescent="0.3">
      <c r="A86">
        <v>1062</v>
      </c>
      <c r="B86" s="1">
        <v>45247</v>
      </c>
      <c r="C86" t="s">
        <v>33</v>
      </c>
      <c r="D86" t="s">
        <v>15</v>
      </c>
      <c r="E86">
        <v>4790.72</v>
      </c>
      <c r="F86">
        <v>28</v>
      </c>
      <c r="G86" t="s">
        <v>29</v>
      </c>
      <c r="H86">
        <v>2094.88</v>
      </c>
      <c r="I86">
        <v>2168.91</v>
      </c>
      <c r="J86">
        <f>Table2[[#This Row],[Sales_Amount]]-(Table2[[#This Row],[Quantity_Sold]]*Table2[[#This Row],[Unit_Cost]])</f>
        <v>-53865.919999999998</v>
      </c>
    </row>
    <row r="87" spans="1:10" x14ac:dyDescent="0.3">
      <c r="A87">
        <v>1100</v>
      </c>
      <c r="B87" s="1">
        <v>45245</v>
      </c>
      <c r="C87" t="s">
        <v>38</v>
      </c>
      <c r="D87" t="s">
        <v>34</v>
      </c>
      <c r="E87">
        <v>672.66</v>
      </c>
      <c r="F87">
        <v>2</v>
      </c>
      <c r="G87" t="s">
        <v>16</v>
      </c>
      <c r="H87">
        <v>1036.76</v>
      </c>
      <c r="I87">
        <v>1189.3499999999999</v>
      </c>
      <c r="J87">
        <f>Table2[[#This Row],[Sales_Amount]]-(Table2[[#This Row],[Quantity_Sold]]*Table2[[#This Row],[Unit_Cost]])</f>
        <v>-1400.8600000000001</v>
      </c>
    </row>
    <row r="88" spans="1:10" x14ac:dyDescent="0.3">
      <c r="A88">
        <v>1014</v>
      </c>
      <c r="B88" s="1">
        <v>45027</v>
      </c>
      <c r="C88" t="s">
        <v>42</v>
      </c>
      <c r="D88" t="s">
        <v>25</v>
      </c>
      <c r="E88">
        <v>9582.1200000000008</v>
      </c>
      <c r="F88">
        <v>38</v>
      </c>
      <c r="G88" t="s">
        <v>26</v>
      </c>
      <c r="H88">
        <v>2091.21</v>
      </c>
      <c r="I88">
        <v>2527</v>
      </c>
      <c r="J88">
        <f>Table2[[#This Row],[Sales_Amount]]-(Table2[[#This Row],[Quantity_Sold]]*Table2[[#This Row],[Unit_Cost]])</f>
        <v>-69883.86</v>
      </c>
    </row>
    <row r="89" spans="1:10" x14ac:dyDescent="0.3">
      <c r="A89">
        <v>1095</v>
      </c>
      <c r="B89" s="1">
        <v>45255</v>
      </c>
      <c r="C89" t="s">
        <v>42</v>
      </c>
      <c r="D89" t="s">
        <v>34</v>
      </c>
      <c r="E89">
        <v>9432.9699999999993</v>
      </c>
      <c r="F89">
        <v>37</v>
      </c>
      <c r="G89" t="s">
        <v>35</v>
      </c>
      <c r="H89">
        <v>407.77</v>
      </c>
      <c r="I89">
        <v>860.95</v>
      </c>
      <c r="J89">
        <f>Table2[[#This Row],[Sales_Amount]]-(Table2[[#This Row],[Quantity_Sold]]*Table2[[#This Row],[Unit_Cost]])</f>
        <v>-5654.52</v>
      </c>
    </row>
    <row r="90" spans="1:10" x14ac:dyDescent="0.3">
      <c r="A90">
        <v>1048</v>
      </c>
      <c r="B90" s="1">
        <v>45199</v>
      </c>
      <c r="C90" t="s">
        <v>33</v>
      </c>
      <c r="D90" t="s">
        <v>15</v>
      </c>
      <c r="E90">
        <v>7873.38</v>
      </c>
      <c r="F90">
        <v>4</v>
      </c>
      <c r="G90" t="s">
        <v>16</v>
      </c>
      <c r="H90">
        <v>2900.14</v>
      </c>
      <c r="I90">
        <v>2910.5099999999902</v>
      </c>
      <c r="J90">
        <f>Table2[[#This Row],[Sales_Amount]]-(Table2[[#This Row],[Quantity_Sold]]*Table2[[#This Row],[Unit_Cost]])</f>
        <v>-3727.1799999999994</v>
      </c>
    </row>
    <row r="91" spans="1:10" x14ac:dyDescent="0.3">
      <c r="A91">
        <v>1015</v>
      </c>
      <c r="B91" s="1">
        <v>45191</v>
      </c>
      <c r="C91" t="s">
        <v>24</v>
      </c>
      <c r="D91" t="s">
        <v>25</v>
      </c>
      <c r="E91">
        <v>9914.15</v>
      </c>
      <c r="F91">
        <v>22</v>
      </c>
      <c r="G91" t="s">
        <v>35</v>
      </c>
      <c r="H91">
        <v>4275.59</v>
      </c>
      <c r="I91">
        <v>4576.72</v>
      </c>
      <c r="J91">
        <f>Table2[[#This Row],[Sales_Amount]]-(Table2[[#This Row],[Quantity_Sold]]*Table2[[#This Row],[Unit_Cost]])</f>
        <v>-84148.830000000016</v>
      </c>
    </row>
    <row r="92" spans="1:10" x14ac:dyDescent="0.3">
      <c r="A92">
        <v>1072</v>
      </c>
      <c r="B92" s="1">
        <v>44964</v>
      </c>
      <c r="C92" t="s">
        <v>14</v>
      </c>
      <c r="D92" t="s">
        <v>34</v>
      </c>
      <c r="E92">
        <v>5490.38</v>
      </c>
      <c r="F92">
        <v>26</v>
      </c>
      <c r="G92" t="s">
        <v>26</v>
      </c>
      <c r="H92">
        <v>3640.17</v>
      </c>
      <c r="I92">
        <v>4002.63</v>
      </c>
      <c r="J92">
        <f>Table2[[#This Row],[Sales_Amount]]-(Table2[[#This Row],[Quantity_Sold]]*Table2[[#This Row],[Unit_Cost]])</f>
        <v>-89154.04</v>
      </c>
    </row>
    <row r="93" spans="1:10" x14ac:dyDescent="0.3">
      <c r="A93">
        <v>1078</v>
      </c>
      <c r="B93" s="1">
        <v>45020</v>
      </c>
      <c r="C93" t="s">
        <v>24</v>
      </c>
      <c r="D93" t="s">
        <v>34</v>
      </c>
      <c r="E93">
        <v>9631.41</v>
      </c>
      <c r="F93">
        <v>49</v>
      </c>
      <c r="G93" t="s">
        <v>16</v>
      </c>
      <c r="H93">
        <v>1833.95</v>
      </c>
      <c r="I93">
        <v>2147.14</v>
      </c>
      <c r="J93">
        <f>Table2[[#This Row],[Sales_Amount]]-(Table2[[#This Row],[Quantity_Sold]]*Table2[[#This Row],[Unit_Cost]])</f>
        <v>-80232.14</v>
      </c>
    </row>
    <row r="94" spans="1:10" x14ac:dyDescent="0.3">
      <c r="A94">
        <v>1087</v>
      </c>
      <c r="B94" s="1">
        <v>45021</v>
      </c>
      <c r="C94" t="s">
        <v>38</v>
      </c>
      <c r="D94" t="s">
        <v>34</v>
      </c>
      <c r="E94">
        <v>848.49</v>
      </c>
      <c r="F94">
        <v>43</v>
      </c>
      <c r="G94" t="s">
        <v>16</v>
      </c>
      <c r="H94">
        <v>481</v>
      </c>
      <c r="I94">
        <v>531.02</v>
      </c>
      <c r="J94">
        <f>Table2[[#This Row],[Sales_Amount]]-(Table2[[#This Row],[Quantity_Sold]]*Table2[[#This Row],[Unit_Cost]])</f>
        <v>-19834.509999999998</v>
      </c>
    </row>
    <row r="95" spans="1:10" x14ac:dyDescent="0.3">
      <c r="A95">
        <v>1062</v>
      </c>
      <c r="B95" s="1">
        <v>45231</v>
      </c>
      <c r="C95" t="s">
        <v>14</v>
      </c>
      <c r="D95" t="s">
        <v>34</v>
      </c>
      <c r="E95">
        <v>3720.24</v>
      </c>
      <c r="F95">
        <v>36</v>
      </c>
      <c r="G95" t="s">
        <v>26</v>
      </c>
      <c r="H95">
        <v>1050.6400000000001</v>
      </c>
      <c r="I95">
        <v>1167.33</v>
      </c>
      <c r="J95">
        <f>Table2[[#This Row],[Sales_Amount]]-(Table2[[#This Row],[Quantity_Sold]]*Table2[[#This Row],[Unit_Cost]])</f>
        <v>-34102.800000000003</v>
      </c>
    </row>
    <row r="96" spans="1:10" x14ac:dyDescent="0.3">
      <c r="A96">
        <v>1040</v>
      </c>
      <c r="B96" s="1">
        <v>44995</v>
      </c>
      <c r="C96" t="s">
        <v>33</v>
      </c>
      <c r="D96" t="s">
        <v>34</v>
      </c>
      <c r="E96">
        <v>2331.27</v>
      </c>
      <c r="F96">
        <v>13</v>
      </c>
      <c r="G96" t="s">
        <v>29</v>
      </c>
      <c r="H96">
        <v>2750.18</v>
      </c>
      <c r="I96">
        <v>2882.85</v>
      </c>
      <c r="J96">
        <f>Table2[[#This Row],[Sales_Amount]]-(Table2[[#This Row],[Quantity_Sold]]*Table2[[#This Row],[Unit_Cost]])</f>
        <v>-33421.07</v>
      </c>
    </row>
    <row r="97" spans="1:10" x14ac:dyDescent="0.3">
      <c r="A97">
        <v>1085</v>
      </c>
      <c r="B97" s="1">
        <v>45244</v>
      </c>
      <c r="C97" t="s">
        <v>33</v>
      </c>
      <c r="D97" t="s">
        <v>25</v>
      </c>
      <c r="E97">
        <v>2038.75</v>
      </c>
      <c r="F97">
        <v>32</v>
      </c>
      <c r="G97" t="s">
        <v>16</v>
      </c>
      <c r="H97">
        <v>1074.93</v>
      </c>
      <c r="I97">
        <v>1492.48</v>
      </c>
      <c r="J97">
        <f>Table2[[#This Row],[Sales_Amount]]-(Table2[[#This Row],[Quantity_Sold]]*Table2[[#This Row],[Unit_Cost]])</f>
        <v>-32359.010000000002</v>
      </c>
    </row>
    <row r="98" spans="1:10" x14ac:dyDescent="0.3">
      <c r="A98">
        <v>1080</v>
      </c>
      <c r="B98" s="1">
        <v>45162</v>
      </c>
      <c r="C98" t="s">
        <v>14</v>
      </c>
      <c r="D98" t="s">
        <v>21</v>
      </c>
      <c r="E98">
        <v>1493.95</v>
      </c>
      <c r="F98">
        <v>17</v>
      </c>
      <c r="G98" t="s">
        <v>16</v>
      </c>
      <c r="H98">
        <v>2742.67</v>
      </c>
      <c r="I98">
        <v>2979.64</v>
      </c>
      <c r="J98">
        <f>Table2[[#This Row],[Sales_Amount]]-(Table2[[#This Row],[Quantity_Sold]]*Table2[[#This Row],[Unit_Cost]])</f>
        <v>-45131.44</v>
      </c>
    </row>
    <row r="99" spans="1:10" x14ac:dyDescent="0.3">
      <c r="A99">
        <v>1082</v>
      </c>
      <c r="B99" s="1">
        <v>45260</v>
      </c>
      <c r="C99" t="s">
        <v>42</v>
      </c>
      <c r="D99" t="s">
        <v>25</v>
      </c>
      <c r="E99">
        <v>6261.9</v>
      </c>
      <c r="F99">
        <v>41</v>
      </c>
      <c r="G99" t="s">
        <v>35</v>
      </c>
      <c r="H99">
        <v>1196.42</v>
      </c>
      <c r="I99">
        <v>1444.97</v>
      </c>
      <c r="J99">
        <f>Table2[[#This Row],[Sales_Amount]]-(Table2[[#This Row],[Quantity_Sold]]*Table2[[#This Row],[Unit_Cost]])</f>
        <v>-42791.32</v>
      </c>
    </row>
    <row r="100" spans="1:10" x14ac:dyDescent="0.3">
      <c r="A100">
        <v>1053</v>
      </c>
      <c r="B100" s="1">
        <v>45063</v>
      </c>
      <c r="C100" t="s">
        <v>14</v>
      </c>
      <c r="D100" t="s">
        <v>25</v>
      </c>
      <c r="E100">
        <v>7835.09</v>
      </c>
      <c r="F100">
        <v>36</v>
      </c>
      <c r="G100" t="s">
        <v>29</v>
      </c>
      <c r="H100">
        <v>4252.17</v>
      </c>
      <c r="I100">
        <v>4720.2700000000004</v>
      </c>
      <c r="J100">
        <f>Table2[[#This Row],[Sales_Amount]]-(Table2[[#This Row],[Quantity_Sold]]*Table2[[#This Row],[Unit_Cost]])</f>
        <v>-145243.03</v>
      </c>
    </row>
    <row r="101" spans="1:10" x14ac:dyDescent="0.3">
      <c r="A101">
        <v>1024</v>
      </c>
      <c r="B101" s="1">
        <v>45002</v>
      </c>
      <c r="C101" t="s">
        <v>38</v>
      </c>
      <c r="D101" t="s">
        <v>25</v>
      </c>
      <c r="E101">
        <v>5825.15</v>
      </c>
      <c r="F101">
        <v>46</v>
      </c>
      <c r="G101" t="s">
        <v>35</v>
      </c>
      <c r="H101">
        <v>2016.49</v>
      </c>
      <c r="I101">
        <v>2338.66</v>
      </c>
      <c r="J101">
        <f>Table2[[#This Row],[Sales_Amount]]-(Table2[[#This Row],[Quantity_Sold]]*Table2[[#This Row],[Unit_Cost]])</f>
        <v>-86933.39</v>
      </c>
    </row>
    <row r="102" spans="1:10" x14ac:dyDescent="0.3">
      <c r="A102">
        <v>1026</v>
      </c>
      <c r="B102" s="1">
        <v>44961</v>
      </c>
      <c r="C102" t="s">
        <v>42</v>
      </c>
      <c r="D102" t="s">
        <v>21</v>
      </c>
      <c r="E102">
        <v>1554.93</v>
      </c>
      <c r="F102">
        <v>19</v>
      </c>
      <c r="G102" t="s">
        <v>35</v>
      </c>
      <c r="H102">
        <v>1265.48</v>
      </c>
      <c r="I102">
        <v>1715.83</v>
      </c>
      <c r="J102">
        <f>Table2[[#This Row],[Sales_Amount]]-(Table2[[#This Row],[Quantity_Sold]]*Table2[[#This Row],[Unit_Cost]])</f>
        <v>-22489.19</v>
      </c>
    </row>
    <row r="103" spans="1:10" x14ac:dyDescent="0.3">
      <c r="A103">
        <v>1089</v>
      </c>
      <c r="B103" s="1">
        <v>44927</v>
      </c>
      <c r="C103" t="s">
        <v>33</v>
      </c>
      <c r="D103" t="s">
        <v>15</v>
      </c>
      <c r="E103">
        <v>8130.13</v>
      </c>
      <c r="F103">
        <v>35</v>
      </c>
      <c r="G103" t="s">
        <v>29</v>
      </c>
      <c r="H103">
        <v>4071.01</v>
      </c>
      <c r="I103">
        <v>4304.7</v>
      </c>
      <c r="J103">
        <f>Table2[[#This Row],[Sales_Amount]]-(Table2[[#This Row],[Quantity_Sold]]*Table2[[#This Row],[Unit_Cost]])</f>
        <v>-134355.22</v>
      </c>
    </row>
    <row r="104" spans="1:10" x14ac:dyDescent="0.3">
      <c r="A104">
        <v>1060</v>
      </c>
      <c r="B104" s="1">
        <v>45222</v>
      </c>
      <c r="C104" t="s">
        <v>14</v>
      </c>
      <c r="D104" t="s">
        <v>21</v>
      </c>
      <c r="E104">
        <v>6395.95</v>
      </c>
      <c r="F104">
        <v>46</v>
      </c>
      <c r="G104" t="s">
        <v>29</v>
      </c>
      <c r="H104">
        <v>1747.05</v>
      </c>
      <c r="I104">
        <v>1830.27</v>
      </c>
      <c r="J104">
        <f>Table2[[#This Row],[Sales_Amount]]-(Table2[[#This Row],[Quantity_Sold]]*Table2[[#This Row],[Unit_Cost]])</f>
        <v>-73968.350000000006</v>
      </c>
    </row>
    <row r="105" spans="1:10" x14ac:dyDescent="0.3">
      <c r="A105">
        <v>1041</v>
      </c>
      <c r="B105" s="1">
        <v>45246</v>
      </c>
      <c r="C105" t="s">
        <v>24</v>
      </c>
      <c r="D105" t="s">
        <v>25</v>
      </c>
      <c r="E105">
        <v>3942.84</v>
      </c>
      <c r="F105">
        <v>40</v>
      </c>
      <c r="G105" t="s">
        <v>26</v>
      </c>
      <c r="H105">
        <v>601.86</v>
      </c>
      <c r="I105">
        <v>1067.53</v>
      </c>
      <c r="J105">
        <f>Table2[[#This Row],[Sales_Amount]]-(Table2[[#This Row],[Quantity_Sold]]*Table2[[#This Row],[Unit_Cost]])</f>
        <v>-20131.560000000001</v>
      </c>
    </row>
    <row r="106" spans="1:10" x14ac:dyDescent="0.3">
      <c r="A106">
        <v>1029</v>
      </c>
      <c r="B106" s="1">
        <v>44986</v>
      </c>
      <c r="C106" t="s">
        <v>24</v>
      </c>
      <c r="D106" t="s">
        <v>34</v>
      </c>
      <c r="E106">
        <v>6773.89</v>
      </c>
      <c r="F106">
        <v>28</v>
      </c>
      <c r="G106" t="s">
        <v>29</v>
      </c>
      <c r="H106">
        <v>2873.53</v>
      </c>
      <c r="I106">
        <v>3108.3</v>
      </c>
      <c r="J106">
        <f>Table2[[#This Row],[Sales_Amount]]-(Table2[[#This Row],[Quantity_Sold]]*Table2[[#This Row],[Unit_Cost]])</f>
        <v>-73684.950000000012</v>
      </c>
    </row>
    <row r="107" spans="1:10" x14ac:dyDescent="0.3">
      <c r="A107">
        <v>1015</v>
      </c>
      <c r="B107" s="1">
        <v>45246</v>
      </c>
      <c r="C107" t="s">
        <v>38</v>
      </c>
      <c r="D107" t="s">
        <v>34</v>
      </c>
      <c r="E107">
        <v>2673.06</v>
      </c>
      <c r="F107">
        <v>1</v>
      </c>
      <c r="G107" t="s">
        <v>16</v>
      </c>
      <c r="H107">
        <v>2928.74</v>
      </c>
      <c r="I107">
        <v>3027.74</v>
      </c>
      <c r="J107">
        <f>Table2[[#This Row],[Sales_Amount]]-(Table2[[#This Row],[Quantity_Sold]]*Table2[[#This Row],[Unit_Cost]])</f>
        <v>-255.67999999999984</v>
      </c>
    </row>
    <row r="108" spans="1:10" x14ac:dyDescent="0.3">
      <c r="A108">
        <v>1045</v>
      </c>
      <c r="B108" s="1">
        <v>45275</v>
      </c>
      <c r="C108" t="s">
        <v>24</v>
      </c>
      <c r="D108" t="s">
        <v>25</v>
      </c>
      <c r="E108">
        <v>3517.4</v>
      </c>
      <c r="F108">
        <v>42</v>
      </c>
      <c r="G108" t="s">
        <v>29</v>
      </c>
      <c r="H108">
        <v>3587.74</v>
      </c>
      <c r="I108">
        <v>3745.91</v>
      </c>
      <c r="J108">
        <f>Table2[[#This Row],[Sales_Amount]]-(Table2[[#This Row],[Quantity_Sold]]*Table2[[#This Row],[Unit_Cost]])</f>
        <v>-147167.67999999999</v>
      </c>
    </row>
    <row r="109" spans="1:10" x14ac:dyDescent="0.3">
      <c r="A109">
        <v>1065</v>
      </c>
      <c r="B109" s="1">
        <v>45254</v>
      </c>
      <c r="C109" t="s">
        <v>14</v>
      </c>
      <c r="D109" t="s">
        <v>34</v>
      </c>
      <c r="E109">
        <v>9183.11</v>
      </c>
      <c r="F109">
        <v>18</v>
      </c>
      <c r="G109" t="s">
        <v>26</v>
      </c>
      <c r="H109">
        <v>1239.0899999999999</v>
      </c>
      <c r="I109">
        <v>1273.98</v>
      </c>
      <c r="J109">
        <f>Table2[[#This Row],[Sales_Amount]]-(Table2[[#This Row],[Quantity_Sold]]*Table2[[#This Row],[Unit_Cost]])</f>
        <v>-13120.509999999998</v>
      </c>
    </row>
    <row r="110" spans="1:10" x14ac:dyDescent="0.3">
      <c r="A110">
        <v>1089</v>
      </c>
      <c r="B110" s="1">
        <v>45193</v>
      </c>
      <c r="C110" t="s">
        <v>14</v>
      </c>
      <c r="D110" t="s">
        <v>25</v>
      </c>
      <c r="E110">
        <v>2975.99</v>
      </c>
      <c r="F110">
        <v>48</v>
      </c>
      <c r="G110" t="s">
        <v>26</v>
      </c>
      <c r="H110">
        <v>2246.67</v>
      </c>
      <c r="I110">
        <v>2486.14</v>
      </c>
      <c r="J110">
        <f>Table2[[#This Row],[Sales_Amount]]-(Table2[[#This Row],[Quantity_Sold]]*Table2[[#This Row],[Unit_Cost]])</f>
        <v>-104864.17</v>
      </c>
    </row>
    <row r="111" spans="1:10" x14ac:dyDescent="0.3">
      <c r="A111">
        <v>1071</v>
      </c>
      <c r="B111" s="1">
        <v>45287</v>
      </c>
      <c r="C111" t="s">
        <v>24</v>
      </c>
      <c r="D111" t="s">
        <v>34</v>
      </c>
      <c r="E111">
        <v>4752.88</v>
      </c>
      <c r="F111">
        <v>40</v>
      </c>
      <c r="G111" t="s">
        <v>26</v>
      </c>
      <c r="H111">
        <v>1447.72</v>
      </c>
      <c r="I111">
        <v>1875.75</v>
      </c>
      <c r="J111">
        <f>Table2[[#This Row],[Sales_Amount]]-(Table2[[#This Row],[Quantity_Sold]]*Table2[[#This Row],[Unit_Cost]])</f>
        <v>-53155.920000000006</v>
      </c>
    </row>
    <row r="112" spans="1:10" x14ac:dyDescent="0.3">
      <c r="A112">
        <v>1009</v>
      </c>
      <c r="B112" s="1">
        <v>45155</v>
      </c>
      <c r="C112" t="s">
        <v>14</v>
      </c>
      <c r="D112" t="s">
        <v>21</v>
      </c>
      <c r="E112">
        <v>8912.4</v>
      </c>
      <c r="F112">
        <v>33</v>
      </c>
      <c r="G112" t="s">
        <v>29</v>
      </c>
      <c r="H112">
        <v>450.72</v>
      </c>
      <c r="I112">
        <v>918.17</v>
      </c>
      <c r="J112">
        <f>Table2[[#This Row],[Sales_Amount]]-(Table2[[#This Row],[Quantity_Sold]]*Table2[[#This Row],[Unit_Cost]])</f>
        <v>-5961.3600000000006</v>
      </c>
    </row>
    <row r="113" spans="1:10" x14ac:dyDescent="0.3">
      <c r="A113">
        <v>1088</v>
      </c>
      <c r="B113" s="1">
        <v>45196</v>
      </c>
      <c r="C113" t="s">
        <v>38</v>
      </c>
      <c r="D113" t="s">
        <v>15</v>
      </c>
      <c r="E113">
        <v>7106.44</v>
      </c>
      <c r="F113">
        <v>12</v>
      </c>
      <c r="G113" t="s">
        <v>29</v>
      </c>
      <c r="H113">
        <v>4389.24</v>
      </c>
      <c r="I113">
        <v>4856.2199999999903</v>
      </c>
      <c r="J113">
        <f>Table2[[#This Row],[Sales_Amount]]-(Table2[[#This Row],[Quantity_Sold]]*Table2[[#This Row],[Unit_Cost]])</f>
        <v>-45564.439999999995</v>
      </c>
    </row>
    <row r="114" spans="1:10" x14ac:dyDescent="0.3">
      <c r="A114">
        <v>1001</v>
      </c>
      <c r="B114" s="1">
        <v>45242</v>
      </c>
      <c r="C114" t="s">
        <v>42</v>
      </c>
      <c r="D114" t="s">
        <v>15</v>
      </c>
      <c r="E114">
        <v>715.81</v>
      </c>
      <c r="F114">
        <v>8</v>
      </c>
      <c r="G114" t="s">
        <v>35</v>
      </c>
      <c r="H114">
        <v>3657.91</v>
      </c>
      <c r="I114">
        <v>3729.27</v>
      </c>
      <c r="J114">
        <f>Table2[[#This Row],[Sales_Amount]]-(Table2[[#This Row],[Quantity_Sold]]*Table2[[#This Row],[Unit_Cost]])</f>
        <v>-28547.469999999998</v>
      </c>
    </row>
    <row r="115" spans="1:10" x14ac:dyDescent="0.3">
      <c r="A115">
        <v>1008</v>
      </c>
      <c r="B115" s="1">
        <v>45212</v>
      </c>
      <c r="C115" t="s">
        <v>38</v>
      </c>
      <c r="D115" t="s">
        <v>21</v>
      </c>
      <c r="E115">
        <v>1558.3</v>
      </c>
      <c r="F115">
        <v>24</v>
      </c>
      <c r="G115" t="s">
        <v>35</v>
      </c>
      <c r="H115">
        <v>1542.24</v>
      </c>
      <c r="I115">
        <v>1739.45</v>
      </c>
      <c r="J115">
        <f>Table2[[#This Row],[Sales_Amount]]-(Table2[[#This Row],[Quantity_Sold]]*Table2[[#This Row],[Unit_Cost]])</f>
        <v>-35455.46</v>
      </c>
    </row>
    <row r="116" spans="1:10" x14ac:dyDescent="0.3">
      <c r="A116">
        <v>1088</v>
      </c>
      <c r="B116" s="1">
        <v>45217</v>
      </c>
      <c r="C116" t="s">
        <v>38</v>
      </c>
      <c r="D116" t="s">
        <v>21</v>
      </c>
      <c r="E116">
        <v>177.63</v>
      </c>
      <c r="F116">
        <v>16</v>
      </c>
      <c r="G116" t="s">
        <v>16</v>
      </c>
      <c r="H116">
        <v>3016.9</v>
      </c>
      <c r="I116">
        <v>3040.73</v>
      </c>
      <c r="J116">
        <f>Table2[[#This Row],[Sales_Amount]]-(Table2[[#This Row],[Quantity_Sold]]*Table2[[#This Row],[Unit_Cost]])</f>
        <v>-48092.770000000004</v>
      </c>
    </row>
    <row r="117" spans="1:10" x14ac:dyDescent="0.3">
      <c r="A117">
        <v>1063</v>
      </c>
      <c r="B117" s="1">
        <v>45139</v>
      </c>
      <c r="C117" t="s">
        <v>14</v>
      </c>
      <c r="D117" t="s">
        <v>25</v>
      </c>
      <c r="E117">
        <v>6346.13</v>
      </c>
      <c r="F117">
        <v>4</v>
      </c>
      <c r="G117" t="s">
        <v>35</v>
      </c>
      <c r="H117">
        <v>1046.26</v>
      </c>
      <c r="I117">
        <v>1475.29</v>
      </c>
      <c r="J117">
        <f>Table2[[#This Row],[Sales_Amount]]-(Table2[[#This Row],[Quantity_Sold]]*Table2[[#This Row],[Unit_Cost]])</f>
        <v>2161.09</v>
      </c>
    </row>
    <row r="118" spans="1:10" x14ac:dyDescent="0.3">
      <c r="A118">
        <v>1011</v>
      </c>
      <c r="B118" s="1">
        <v>45091</v>
      </c>
      <c r="C118" t="s">
        <v>42</v>
      </c>
      <c r="D118" t="s">
        <v>25</v>
      </c>
      <c r="E118">
        <v>4531.97</v>
      </c>
      <c r="F118">
        <v>38</v>
      </c>
      <c r="G118" t="s">
        <v>16</v>
      </c>
      <c r="H118">
        <v>4456.67</v>
      </c>
      <c r="I118">
        <v>4642.46</v>
      </c>
      <c r="J118">
        <f>Table2[[#This Row],[Sales_Amount]]-(Table2[[#This Row],[Quantity_Sold]]*Table2[[#This Row],[Unit_Cost]])</f>
        <v>-164821.49</v>
      </c>
    </row>
    <row r="119" spans="1:10" x14ac:dyDescent="0.3">
      <c r="A119">
        <v>1081</v>
      </c>
      <c r="B119" s="1">
        <v>44931</v>
      </c>
      <c r="C119" t="s">
        <v>14</v>
      </c>
      <c r="D119" t="s">
        <v>25</v>
      </c>
      <c r="E119">
        <v>1429.32</v>
      </c>
      <c r="F119">
        <v>44</v>
      </c>
      <c r="G119" t="s">
        <v>26</v>
      </c>
      <c r="H119">
        <v>618.79</v>
      </c>
      <c r="I119">
        <v>938.04</v>
      </c>
      <c r="J119">
        <f>Table2[[#This Row],[Sales_Amount]]-(Table2[[#This Row],[Quantity_Sold]]*Table2[[#This Row],[Unit_Cost]])</f>
        <v>-25797.439999999999</v>
      </c>
    </row>
    <row r="120" spans="1:10" x14ac:dyDescent="0.3">
      <c r="A120">
        <v>1008</v>
      </c>
      <c r="B120" s="1">
        <v>45265</v>
      </c>
      <c r="C120" t="s">
        <v>33</v>
      </c>
      <c r="D120" t="s">
        <v>34</v>
      </c>
      <c r="E120">
        <v>9583.5499999999993</v>
      </c>
      <c r="F120">
        <v>27</v>
      </c>
      <c r="G120" t="s">
        <v>35</v>
      </c>
      <c r="H120">
        <v>68.989999999999995</v>
      </c>
      <c r="I120">
        <v>429.29</v>
      </c>
      <c r="J120">
        <f>Table2[[#This Row],[Sales_Amount]]-(Table2[[#This Row],[Quantity_Sold]]*Table2[[#This Row],[Unit_Cost]])</f>
        <v>7720.82</v>
      </c>
    </row>
    <row r="121" spans="1:10" x14ac:dyDescent="0.3">
      <c r="A121">
        <v>1035</v>
      </c>
      <c r="B121" s="1">
        <v>45004</v>
      </c>
      <c r="C121" t="s">
        <v>14</v>
      </c>
      <c r="D121" t="s">
        <v>25</v>
      </c>
      <c r="E121">
        <v>5343.63</v>
      </c>
      <c r="F121">
        <v>9</v>
      </c>
      <c r="G121" t="s">
        <v>29</v>
      </c>
      <c r="H121">
        <v>2534.94</v>
      </c>
      <c r="I121">
        <v>2755.56</v>
      </c>
      <c r="J121">
        <f>Table2[[#This Row],[Sales_Amount]]-(Table2[[#This Row],[Quantity_Sold]]*Table2[[#This Row],[Unit_Cost]])</f>
        <v>-17470.829999999998</v>
      </c>
    </row>
    <row r="122" spans="1:10" x14ac:dyDescent="0.3">
      <c r="A122">
        <v>1035</v>
      </c>
      <c r="B122" s="1">
        <v>44988</v>
      </c>
      <c r="C122" t="s">
        <v>14</v>
      </c>
      <c r="D122" t="s">
        <v>21</v>
      </c>
      <c r="E122">
        <v>2494.7399999999998</v>
      </c>
      <c r="F122">
        <v>47</v>
      </c>
      <c r="G122" t="s">
        <v>35</v>
      </c>
      <c r="H122">
        <v>2936.48</v>
      </c>
      <c r="I122">
        <v>3096.64</v>
      </c>
      <c r="J122">
        <f>Table2[[#This Row],[Sales_Amount]]-(Table2[[#This Row],[Quantity_Sold]]*Table2[[#This Row],[Unit_Cost]])</f>
        <v>-135519.82</v>
      </c>
    </row>
    <row r="123" spans="1:10" x14ac:dyDescent="0.3">
      <c r="A123">
        <v>1033</v>
      </c>
      <c r="B123" s="1">
        <v>45058</v>
      </c>
      <c r="C123" t="s">
        <v>14</v>
      </c>
      <c r="D123" t="s">
        <v>15</v>
      </c>
      <c r="E123">
        <v>5055.9799999999996</v>
      </c>
      <c r="F123">
        <v>16</v>
      </c>
      <c r="G123" t="s">
        <v>16</v>
      </c>
      <c r="H123">
        <v>2915.88</v>
      </c>
      <c r="I123">
        <v>3397.36</v>
      </c>
      <c r="J123">
        <f>Table2[[#This Row],[Sales_Amount]]-(Table2[[#This Row],[Quantity_Sold]]*Table2[[#This Row],[Unit_Cost]])</f>
        <v>-41598.100000000006</v>
      </c>
    </row>
    <row r="124" spans="1:10" x14ac:dyDescent="0.3">
      <c r="A124">
        <v>1005</v>
      </c>
      <c r="B124" s="1">
        <v>45015</v>
      </c>
      <c r="C124" t="s">
        <v>42</v>
      </c>
      <c r="D124" t="s">
        <v>34</v>
      </c>
      <c r="E124">
        <v>6828.24</v>
      </c>
      <c r="F124">
        <v>12</v>
      </c>
      <c r="G124" t="s">
        <v>35</v>
      </c>
      <c r="H124">
        <v>319.83</v>
      </c>
      <c r="I124">
        <v>802.43</v>
      </c>
      <c r="J124">
        <f>Table2[[#This Row],[Sales_Amount]]-(Table2[[#This Row],[Quantity_Sold]]*Table2[[#This Row],[Unit_Cost]])</f>
        <v>2990.2799999999997</v>
      </c>
    </row>
    <row r="125" spans="1:10" x14ac:dyDescent="0.3">
      <c r="A125">
        <v>1041</v>
      </c>
      <c r="B125" s="1">
        <v>45163</v>
      </c>
      <c r="C125" t="s">
        <v>14</v>
      </c>
      <c r="D125" t="s">
        <v>25</v>
      </c>
      <c r="E125">
        <v>854.77</v>
      </c>
      <c r="F125">
        <v>31</v>
      </c>
      <c r="G125" t="s">
        <v>26</v>
      </c>
      <c r="H125">
        <v>1604.52</v>
      </c>
      <c r="I125">
        <v>1756.34</v>
      </c>
      <c r="J125">
        <f>Table2[[#This Row],[Sales_Amount]]-(Table2[[#This Row],[Quantity_Sold]]*Table2[[#This Row],[Unit_Cost]])</f>
        <v>-48885.350000000006</v>
      </c>
    </row>
    <row r="126" spans="1:10" x14ac:dyDescent="0.3">
      <c r="A126">
        <v>1028</v>
      </c>
      <c r="B126" s="1">
        <v>44968</v>
      </c>
      <c r="C126" t="s">
        <v>42</v>
      </c>
      <c r="D126" t="s">
        <v>34</v>
      </c>
      <c r="E126">
        <v>2819.57</v>
      </c>
      <c r="F126">
        <v>24</v>
      </c>
      <c r="G126" t="s">
        <v>29</v>
      </c>
      <c r="H126">
        <v>2521.0300000000002</v>
      </c>
      <c r="I126">
        <v>2766.05</v>
      </c>
      <c r="J126">
        <f>Table2[[#This Row],[Sales_Amount]]-(Table2[[#This Row],[Quantity_Sold]]*Table2[[#This Row],[Unit_Cost]])</f>
        <v>-57685.15</v>
      </c>
    </row>
    <row r="127" spans="1:10" x14ac:dyDescent="0.3">
      <c r="A127">
        <v>1007</v>
      </c>
      <c r="B127" s="1">
        <v>45015</v>
      </c>
      <c r="C127" t="s">
        <v>24</v>
      </c>
      <c r="D127" t="s">
        <v>34</v>
      </c>
      <c r="E127">
        <v>8088.96</v>
      </c>
      <c r="F127">
        <v>14</v>
      </c>
      <c r="G127" t="s">
        <v>16</v>
      </c>
      <c r="H127">
        <v>1122.07</v>
      </c>
      <c r="I127">
        <v>1608.76</v>
      </c>
      <c r="J127">
        <f>Table2[[#This Row],[Sales_Amount]]-(Table2[[#This Row],[Quantity_Sold]]*Table2[[#This Row],[Unit_Cost]])</f>
        <v>-7620.0199999999995</v>
      </c>
    </row>
    <row r="128" spans="1:10" x14ac:dyDescent="0.3">
      <c r="A128">
        <v>1073</v>
      </c>
      <c r="B128" s="1">
        <v>45222</v>
      </c>
      <c r="C128" t="s">
        <v>33</v>
      </c>
      <c r="D128" t="s">
        <v>25</v>
      </c>
      <c r="E128">
        <v>4650.68</v>
      </c>
      <c r="F128">
        <v>45</v>
      </c>
      <c r="G128" t="s">
        <v>29</v>
      </c>
      <c r="H128">
        <v>4369.5</v>
      </c>
      <c r="I128">
        <v>4381.8900000000003</v>
      </c>
      <c r="J128">
        <f>Table2[[#This Row],[Sales_Amount]]-(Table2[[#This Row],[Quantity_Sold]]*Table2[[#This Row],[Unit_Cost]])</f>
        <v>-191976.82</v>
      </c>
    </row>
    <row r="129" spans="1:10" x14ac:dyDescent="0.3">
      <c r="A129">
        <v>1072</v>
      </c>
      <c r="B129" s="1">
        <v>45254</v>
      </c>
      <c r="C129" t="s">
        <v>42</v>
      </c>
      <c r="D129" t="s">
        <v>34</v>
      </c>
      <c r="E129">
        <v>5511.11</v>
      </c>
      <c r="F129">
        <v>25</v>
      </c>
      <c r="G129" t="s">
        <v>29</v>
      </c>
      <c r="H129">
        <v>481.19</v>
      </c>
      <c r="I129">
        <v>693.4</v>
      </c>
      <c r="J129">
        <f>Table2[[#This Row],[Sales_Amount]]-(Table2[[#This Row],[Quantity_Sold]]*Table2[[#This Row],[Unit_Cost]])</f>
        <v>-6518.64</v>
      </c>
    </row>
    <row r="130" spans="1:10" x14ac:dyDescent="0.3">
      <c r="A130">
        <v>1012</v>
      </c>
      <c r="B130" s="1">
        <v>45221</v>
      </c>
      <c r="C130" t="s">
        <v>24</v>
      </c>
      <c r="D130" t="s">
        <v>15</v>
      </c>
      <c r="E130">
        <v>4384.88</v>
      </c>
      <c r="F130">
        <v>34</v>
      </c>
      <c r="G130" t="s">
        <v>16</v>
      </c>
      <c r="H130">
        <v>2462.5500000000002</v>
      </c>
      <c r="I130">
        <v>2521.77</v>
      </c>
      <c r="J130">
        <f>Table2[[#This Row],[Sales_Amount]]-(Table2[[#This Row],[Quantity_Sold]]*Table2[[#This Row],[Unit_Cost]])</f>
        <v>-79341.820000000007</v>
      </c>
    </row>
    <row r="131" spans="1:10" x14ac:dyDescent="0.3">
      <c r="A131">
        <v>1034</v>
      </c>
      <c r="B131" s="1">
        <v>45030</v>
      </c>
      <c r="C131" t="s">
        <v>42</v>
      </c>
      <c r="D131" t="s">
        <v>21</v>
      </c>
      <c r="E131">
        <v>534.61</v>
      </c>
      <c r="F131">
        <v>3</v>
      </c>
      <c r="G131" t="s">
        <v>29</v>
      </c>
      <c r="H131">
        <v>3472.51</v>
      </c>
      <c r="I131">
        <v>3732</v>
      </c>
      <c r="J131">
        <f>Table2[[#This Row],[Sales_Amount]]-(Table2[[#This Row],[Quantity_Sold]]*Table2[[#This Row],[Unit_Cost]])</f>
        <v>-9882.92</v>
      </c>
    </row>
    <row r="132" spans="1:10" x14ac:dyDescent="0.3">
      <c r="A132">
        <v>1033</v>
      </c>
      <c r="B132" s="1">
        <v>44940</v>
      </c>
      <c r="C132" t="s">
        <v>42</v>
      </c>
      <c r="D132" t="s">
        <v>21</v>
      </c>
      <c r="E132">
        <v>1740.92</v>
      </c>
      <c r="F132">
        <v>24</v>
      </c>
      <c r="G132" t="s">
        <v>29</v>
      </c>
      <c r="H132">
        <v>1345.67</v>
      </c>
      <c r="I132">
        <v>1367.76</v>
      </c>
      <c r="J132">
        <f>Table2[[#This Row],[Sales_Amount]]-(Table2[[#This Row],[Quantity_Sold]]*Table2[[#This Row],[Unit_Cost]])</f>
        <v>-30555.160000000003</v>
      </c>
    </row>
    <row r="133" spans="1:10" x14ac:dyDescent="0.3">
      <c r="A133">
        <v>1048</v>
      </c>
      <c r="B133" s="1">
        <v>45214</v>
      </c>
      <c r="C133" t="s">
        <v>33</v>
      </c>
      <c r="D133" t="s">
        <v>15</v>
      </c>
      <c r="E133">
        <v>4510.8599999999997</v>
      </c>
      <c r="F133">
        <v>42</v>
      </c>
      <c r="G133" t="s">
        <v>35</v>
      </c>
      <c r="H133">
        <v>3139.99</v>
      </c>
      <c r="I133">
        <v>3349.37</v>
      </c>
      <c r="J133">
        <f>Table2[[#This Row],[Sales_Amount]]-(Table2[[#This Row],[Quantity_Sold]]*Table2[[#This Row],[Unit_Cost]])</f>
        <v>-127368.71999999999</v>
      </c>
    </row>
    <row r="134" spans="1:10" x14ac:dyDescent="0.3">
      <c r="A134">
        <v>1023</v>
      </c>
      <c r="B134" s="1">
        <v>45105</v>
      </c>
      <c r="C134" t="s">
        <v>38</v>
      </c>
      <c r="D134" t="s">
        <v>34</v>
      </c>
      <c r="E134">
        <v>2170.94</v>
      </c>
      <c r="F134">
        <v>9</v>
      </c>
      <c r="G134" t="s">
        <v>29</v>
      </c>
      <c r="H134">
        <v>4155.46</v>
      </c>
      <c r="I134">
        <v>4273.6000000000004</v>
      </c>
      <c r="J134">
        <f>Table2[[#This Row],[Sales_Amount]]-(Table2[[#This Row],[Quantity_Sold]]*Table2[[#This Row],[Unit_Cost]])</f>
        <v>-35228.199999999997</v>
      </c>
    </row>
    <row r="135" spans="1:10" x14ac:dyDescent="0.3">
      <c r="A135">
        <v>1062</v>
      </c>
      <c r="B135" s="1">
        <v>45051</v>
      </c>
      <c r="C135" t="s">
        <v>38</v>
      </c>
      <c r="D135" t="s">
        <v>25</v>
      </c>
      <c r="E135">
        <v>594.79</v>
      </c>
      <c r="F135">
        <v>26</v>
      </c>
      <c r="G135" t="s">
        <v>29</v>
      </c>
      <c r="H135">
        <v>992.17</v>
      </c>
      <c r="I135">
        <v>1263.49</v>
      </c>
      <c r="J135">
        <f>Table2[[#This Row],[Sales_Amount]]-(Table2[[#This Row],[Quantity_Sold]]*Table2[[#This Row],[Unit_Cost]])</f>
        <v>-25201.629999999997</v>
      </c>
    </row>
    <row r="136" spans="1:10" x14ac:dyDescent="0.3">
      <c r="A136">
        <v>1088</v>
      </c>
      <c r="B136" s="1">
        <v>45279</v>
      </c>
      <c r="C136" t="s">
        <v>42</v>
      </c>
      <c r="D136" t="s">
        <v>34</v>
      </c>
      <c r="E136">
        <v>8452.1299999999992</v>
      </c>
      <c r="F136">
        <v>20</v>
      </c>
      <c r="G136" t="s">
        <v>29</v>
      </c>
      <c r="H136">
        <v>4590.24</v>
      </c>
      <c r="I136">
        <v>5088.28</v>
      </c>
      <c r="J136">
        <f>Table2[[#This Row],[Sales_Amount]]-(Table2[[#This Row],[Quantity_Sold]]*Table2[[#This Row],[Unit_Cost]])</f>
        <v>-83352.669999999984</v>
      </c>
    </row>
    <row r="137" spans="1:10" x14ac:dyDescent="0.3">
      <c r="A137">
        <v>1037</v>
      </c>
      <c r="B137" s="1">
        <v>44949</v>
      </c>
      <c r="C137" t="s">
        <v>14</v>
      </c>
      <c r="D137" t="s">
        <v>15</v>
      </c>
      <c r="E137">
        <v>9813.81</v>
      </c>
      <c r="F137">
        <v>40</v>
      </c>
      <c r="G137" t="s">
        <v>29</v>
      </c>
      <c r="H137">
        <v>2790.11</v>
      </c>
      <c r="I137">
        <v>3192.37</v>
      </c>
      <c r="J137">
        <f>Table2[[#This Row],[Sales_Amount]]-(Table2[[#This Row],[Quantity_Sold]]*Table2[[#This Row],[Unit_Cost]])</f>
        <v>-101790.59000000001</v>
      </c>
    </row>
    <row r="138" spans="1:10" x14ac:dyDescent="0.3">
      <c r="A138">
        <v>1099</v>
      </c>
      <c r="B138" s="1">
        <v>44989</v>
      </c>
      <c r="C138" t="s">
        <v>24</v>
      </c>
      <c r="D138" t="s">
        <v>34</v>
      </c>
      <c r="E138">
        <v>7952.11</v>
      </c>
      <c r="F138">
        <v>10</v>
      </c>
      <c r="G138" t="s">
        <v>16</v>
      </c>
      <c r="H138">
        <v>1531.2</v>
      </c>
      <c r="I138">
        <v>1955.56</v>
      </c>
      <c r="J138">
        <f>Table2[[#This Row],[Sales_Amount]]-(Table2[[#This Row],[Quantity_Sold]]*Table2[[#This Row],[Unit_Cost]])</f>
        <v>-7359.89</v>
      </c>
    </row>
    <row r="139" spans="1:10" x14ac:dyDescent="0.3">
      <c r="A139">
        <v>1044</v>
      </c>
      <c r="B139" s="1">
        <v>45069</v>
      </c>
      <c r="C139" t="s">
        <v>14</v>
      </c>
      <c r="D139" t="s">
        <v>21</v>
      </c>
      <c r="E139">
        <v>8552.4699999999993</v>
      </c>
      <c r="F139">
        <v>19</v>
      </c>
      <c r="G139" t="s">
        <v>26</v>
      </c>
      <c r="H139">
        <v>2182.75</v>
      </c>
      <c r="I139">
        <v>2504.0299999999902</v>
      </c>
      <c r="J139">
        <f>Table2[[#This Row],[Sales_Amount]]-(Table2[[#This Row],[Quantity_Sold]]*Table2[[#This Row],[Unit_Cost]])</f>
        <v>-32919.78</v>
      </c>
    </row>
    <row r="140" spans="1:10" x14ac:dyDescent="0.3">
      <c r="A140">
        <v>1086</v>
      </c>
      <c r="B140" s="1">
        <v>45079</v>
      </c>
      <c r="C140" t="s">
        <v>14</v>
      </c>
      <c r="D140" t="s">
        <v>34</v>
      </c>
      <c r="E140">
        <v>2495.5700000000002</v>
      </c>
      <c r="F140">
        <v>3</v>
      </c>
      <c r="G140" t="s">
        <v>35</v>
      </c>
      <c r="H140">
        <v>1595.35</v>
      </c>
      <c r="I140">
        <v>1625.70999999999</v>
      </c>
      <c r="J140">
        <f>Table2[[#This Row],[Sales_Amount]]-(Table2[[#This Row],[Quantity_Sold]]*Table2[[#This Row],[Unit_Cost]])</f>
        <v>-2290.4799999999991</v>
      </c>
    </row>
    <row r="141" spans="1:10" x14ac:dyDescent="0.3">
      <c r="A141">
        <v>1091</v>
      </c>
      <c r="B141" s="1">
        <v>45071</v>
      </c>
      <c r="C141" t="s">
        <v>42</v>
      </c>
      <c r="D141" t="s">
        <v>15</v>
      </c>
      <c r="E141">
        <v>9610.2099999999991</v>
      </c>
      <c r="F141">
        <v>24</v>
      </c>
      <c r="G141" t="s">
        <v>29</v>
      </c>
      <c r="H141">
        <v>3639.3</v>
      </c>
      <c r="I141">
        <v>3750.63</v>
      </c>
      <c r="J141">
        <f>Table2[[#This Row],[Sales_Amount]]-(Table2[[#This Row],[Quantity_Sold]]*Table2[[#This Row],[Unit_Cost]])</f>
        <v>-77732.99000000002</v>
      </c>
    </row>
    <row r="142" spans="1:10" x14ac:dyDescent="0.3">
      <c r="A142">
        <v>1035</v>
      </c>
      <c r="B142" s="1">
        <v>45151</v>
      </c>
      <c r="C142" t="s">
        <v>42</v>
      </c>
      <c r="D142" t="s">
        <v>21</v>
      </c>
      <c r="E142">
        <v>2049.56</v>
      </c>
      <c r="F142">
        <v>5</v>
      </c>
      <c r="G142" t="s">
        <v>29</v>
      </c>
      <c r="H142">
        <v>3991.69</v>
      </c>
      <c r="I142">
        <v>4454.97</v>
      </c>
      <c r="J142">
        <f>Table2[[#This Row],[Sales_Amount]]-(Table2[[#This Row],[Quantity_Sold]]*Table2[[#This Row],[Unit_Cost]])</f>
        <v>-17908.89</v>
      </c>
    </row>
    <row r="143" spans="1:10" x14ac:dyDescent="0.3">
      <c r="A143">
        <v>1065</v>
      </c>
      <c r="B143" s="1">
        <v>45235</v>
      </c>
      <c r="C143" t="s">
        <v>42</v>
      </c>
      <c r="D143" t="s">
        <v>34</v>
      </c>
      <c r="E143">
        <v>9519.16</v>
      </c>
      <c r="F143">
        <v>3</v>
      </c>
      <c r="G143" t="s">
        <v>16</v>
      </c>
      <c r="H143">
        <v>4173.04</v>
      </c>
      <c r="I143">
        <v>4362.4399999999996</v>
      </c>
      <c r="J143">
        <f>Table2[[#This Row],[Sales_Amount]]-(Table2[[#This Row],[Quantity_Sold]]*Table2[[#This Row],[Unit_Cost]])</f>
        <v>-2999.9599999999991</v>
      </c>
    </row>
    <row r="144" spans="1:10" x14ac:dyDescent="0.3">
      <c r="A144">
        <v>1099</v>
      </c>
      <c r="B144" s="1">
        <v>45030</v>
      </c>
      <c r="C144" t="s">
        <v>42</v>
      </c>
      <c r="D144" t="s">
        <v>34</v>
      </c>
      <c r="E144">
        <v>9948.7099999999991</v>
      </c>
      <c r="F144">
        <v>27</v>
      </c>
      <c r="G144" t="s">
        <v>26</v>
      </c>
      <c r="H144">
        <v>4929.55</v>
      </c>
      <c r="I144">
        <v>4990.33</v>
      </c>
      <c r="J144">
        <f>Table2[[#This Row],[Sales_Amount]]-(Table2[[#This Row],[Quantity_Sold]]*Table2[[#This Row],[Unit_Cost]])</f>
        <v>-123149.14000000001</v>
      </c>
    </row>
    <row r="145" spans="1:10" x14ac:dyDescent="0.3">
      <c r="A145">
        <v>1047</v>
      </c>
      <c r="B145" s="1">
        <v>45030</v>
      </c>
      <c r="C145" t="s">
        <v>38</v>
      </c>
      <c r="D145" t="s">
        <v>21</v>
      </c>
      <c r="E145">
        <v>7146.06</v>
      </c>
      <c r="F145">
        <v>16</v>
      </c>
      <c r="G145" t="s">
        <v>29</v>
      </c>
      <c r="H145">
        <v>3966.86</v>
      </c>
      <c r="I145">
        <v>4321.04</v>
      </c>
      <c r="J145">
        <f>Table2[[#This Row],[Sales_Amount]]-(Table2[[#This Row],[Quantity_Sold]]*Table2[[#This Row],[Unit_Cost]])</f>
        <v>-56323.700000000004</v>
      </c>
    </row>
    <row r="146" spans="1:10" x14ac:dyDescent="0.3">
      <c r="A146">
        <v>1078</v>
      </c>
      <c r="B146" s="1">
        <v>44965</v>
      </c>
      <c r="C146" t="s">
        <v>42</v>
      </c>
      <c r="D146" t="s">
        <v>25</v>
      </c>
      <c r="E146">
        <v>9813.32</v>
      </c>
      <c r="F146">
        <v>49</v>
      </c>
      <c r="G146" t="s">
        <v>16</v>
      </c>
      <c r="H146">
        <v>3026.85</v>
      </c>
      <c r="I146">
        <v>3183.58</v>
      </c>
      <c r="J146">
        <f>Table2[[#This Row],[Sales_Amount]]-(Table2[[#This Row],[Quantity_Sold]]*Table2[[#This Row],[Unit_Cost]])</f>
        <v>-138502.32999999999</v>
      </c>
    </row>
    <row r="147" spans="1:10" x14ac:dyDescent="0.3">
      <c r="A147">
        <v>1003</v>
      </c>
      <c r="B147" s="1">
        <v>45124</v>
      </c>
      <c r="C147" t="s">
        <v>38</v>
      </c>
      <c r="D147" t="s">
        <v>21</v>
      </c>
      <c r="E147">
        <v>5738.44</v>
      </c>
      <c r="F147">
        <v>15</v>
      </c>
      <c r="G147" t="s">
        <v>35</v>
      </c>
      <c r="H147">
        <v>1729.14</v>
      </c>
      <c r="I147">
        <v>1870.88</v>
      </c>
      <c r="J147">
        <f>Table2[[#This Row],[Sales_Amount]]-(Table2[[#This Row],[Quantity_Sold]]*Table2[[#This Row],[Unit_Cost]])</f>
        <v>-20198.660000000003</v>
      </c>
    </row>
    <row r="148" spans="1:10" x14ac:dyDescent="0.3">
      <c r="A148">
        <v>1001</v>
      </c>
      <c r="B148" s="1">
        <v>45060</v>
      </c>
      <c r="C148" t="s">
        <v>38</v>
      </c>
      <c r="D148" t="s">
        <v>25</v>
      </c>
      <c r="E148">
        <v>2669.46</v>
      </c>
      <c r="F148">
        <v>35</v>
      </c>
      <c r="G148" t="s">
        <v>35</v>
      </c>
      <c r="H148">
        <v>2745.75</v>
      </c>
      <c r="I148">
        <v>3244.76</v>
      </c>
      <c r="J148">
        <f>Table2[[#This Row],[Sales_Amount]]-(Table2[[#This Row],[Quantity_Sold]]*Table2[[#This Row],[Unit_Cost]])</f>
        <v>-93431.79</v>
      </c>
    </row>
    <row r="149" spans="1:10" x14ac:dyDescent="0.3">
      <c r="A149">
        <v>1005</v>
      </c>
      <c r="B149" s="1">
        <v>44993</v>
      </c>
      <c r="C149" t="s">
        <v>42</v>
      </c>
      <c r="D149" t="s">
        <v>15</v>
      </c>
      <c r="E149">
        <v>4426.26</v>
      </c>
      <c r="F149">
        <v>12</v>
      </c>
      <c r="G149" t="s">
        <v>29</v>
      </c>
      <c r="H149">
        <v>253.29</v>
      </c>
      <c r="I149">
        <v>683.78</v>
      </c>
      <c r="J149">
        <f>Table2[[#This Row],[Sales_Amount]]-(Table2[[#This Row],[Quantity_Sold]]*Table2[[#This Row],[Unit_Cost]])</f>
        <v>1386.7800000000002</v>
      </c>
    </row>
    <row r="150" spans="1:10" x14ac:dyDescent="0.3">
      <c r="A150">
        <v>1090</v>
      </c>
      <c r="B150" s="1">
        <v>45105</v>
      </c>
      <c r="C150" t="s">
        <v>33</v>
      </c>
      <c r="D150" t="s">
        <v>15</v>
      </c>
      <c r="E150">
        <v>5976.25</v>
      </c>
      <c r="F150">
        <v>41</v>
      </c>
      <c r="G150" t="s">
        <v>29</v>
      </c>
      <c r="H150">
        <v>3736.88</v>
      </c>
      <c r="I150">
        <v>3946.77</v>
      </c>
      <c r="J150">
        <f>Table2[[#This Row],[Sales_Amount]]-(Table2[[#This Row],[Quantity_Sold]]*Table2[[#This Row],[Unit_Cost]])</f>
        <v>-147235.83000000002</v>
      </c>
    </row>
    <row r="151" spans="1:10" x14ac:dyDescent="0.3">
      <c r="A151">
        <v>1014</v>
      </c>
      <c r="B151" s="1">
        <v>44968</v>
      </c>
      <c r="C151" t="s">
        <v>24</v>
      </c>
      <c r="D151" t="s">
        <v>21</v>
      </c>
      <c r="E151">
        <v>823.51</v>
      </c>
      <c r="F151">
        <v>44</v>
      </c>
      <c r="G151" t="s">
        <v>26</v>
      </c>
      <c r="H151">
        <v>2257.48</v>
      </c>
      <c r="I151">
        <v>2747.81</v>
      </c>
      <c r="J151">
        <f>Table2[[#This Row],[Sales_Amount]]-(Table2[[#This Row],[Quantity_Sold]]*Table2[[#This Row],[Unit_Cost]])</f>
        <v>-98505.61</v>
      </c>
    </row>
    <row r="152" spans="1:10" x14ac:dyDescent="0.3">
      <c r="A152">
        <v>1027</v>
      </c>
      <c r="B152" s="1">
        <v>44941</v>
      </c>
      <c r="C152" t="s">
        <v>14</v>
      </c>
      <c r="D152" t="s">
        <v>21</v>
      </c>
      <c r="E152">
        <v>6261.2</v>
      </c>
      <c r="F152">
        <v>26</v>
      </c>
      <c r="G152" t="s">
        <v>26</v>
      </c>
      <c r="H152">
        <v>149.11000000000001</v>
      </c>
      <c r="I152">
        <v>477.67</v>
      </c>
      <c r="J152">
        <f>Table2[[#This Row],[Sales_Amount]]-(Table2[[#This Row],[Quantity_Sold]]*Table2[[#This Row],[Unit_Cost]])</f>
        <v>2384.3399999999992</v>
      </c>
    </row>
    <row r="153" spans="1:10" x14ac:dyDescent="0.3">
      <c r="A153">
        <v>1009</v>
      </c>
      <c r="B153" s="1">
        <v>45037</v>
      </c>
      <c r="C153" t="s">
        <v>38</v>
      </c>
      <c r="D153" t="s">
        <v>15</v>
      </c>
      <c r="E153">
        <v>9813.66</v>
      </c>
      <c r="F153">
        <v>47</v>
      </c>
      <c r="G153" t="s">
        <v>29</v>
      </c>
      <c r="H153">
        <v>359.41</v>
      </c>
      <c r="I153">
        <v>733</v>
      </c>
      <c r="J153">
        <f>Table2[[#This Row],[Sales_Amount]]-(Table2[[#This Row],[Quantity_Sold]]*Table2[[#This Row],[Unit_Cost]])</f>
        <v>-7078.6100000000006</v>
      </c>
    </row>
    <row r="154" spans="1:10" x14ac:dyDescent="0.3">
      <c r="A154">
        <v>1079</v>
      </c>
      <c r="B154" s="1">
        <v>45083</v>
      </c>
      <c r="C154" t="s">
        <v>24</v>
      </c>
      <c r="D154" t="s">
        <v>25</v>
      </c>
      <c r="E154">
        <v>1982.07</v>
      </c>
      <c r="F154">
        <v>34</v>
      </c>
      <c r="G154" t="s">
        <v>16</v>
      </c>
      <c r="H154">
        <v>1967.96</v>
      </c>
      <c r="I154">
        <v>1993.4</v>
      </c>
      <c r="J154">
        <f>Table2[[#This Row],[Sales_Amount]]-(Table2[[#This Row],[Quantity_Sold]]*Table2[[#This Row],[Unit_Cost]])</f>
        <v>-64928.57</v>
      </c>
    </row>
    <row r="155" spans="1:10" x14ac:dyDescent="0.3">
      <c r="A155">
        <v>1015</v>
      </c>
      <c r="B155" s="1">
        <v>45215</v>
      </c>
      <c r="C155" t="s">
        <v>33</v>
      </c>
      <c r="D155" t="s">
        <v>15</v>
      </c>
      <c r="E155">
        <v>7946.69</v>
      </c>
      <c r="F155">
        <v>23</v>
      </c>
      <c r="G155" t="s">
        <v>26</v>
      </c>
      <c r="H155">
        <v>2937.94</v>
      </c>
      <c r="I155">
        <v>3007.53</v>
      </c>
      <c r="J155">
        <f>Table2[[#This Row],[Sales_Amount]]-(Table2[[#This Row],[Quantity_Sold]]*Table2[[#This Row],[Unit_Cost]])</f>
        <v>-59625.929999999993</v>
      </c>
    </row>
    <row r="156" spans="1:10" x14ac:dyDescent="0.3">
      <c r="A156">
        <v>1090</v>
      </c>
      <c r="B156" s="1">
        <v>45157</v>
      </c>
      <c r="C156" t="s">
        <v>14</v>
      </c>
      <c r="D156" t="s">
        <v>21</v>
      </c>
      <c r="E156">
        <v>9088.2000000000007</v>
      </c>
      <c r="F156">
        <v>31</v>
      </c>
      <c r="G156" t="s">
        <v>29</v>
      </c>
      <c r="H156">
        <v>2347.81</v>
      </c>
      <c r="I156">
        <v>2668.02</v>
      </c>
      <c r="J156">
        <f>Table2[[#This Row],[Sales_Amount]]-(Table2[[#This Row],[Quantity_Sold]]*Table2[[#This Row],[Unit_Cost]])</f>
        <v>-63693.91</v>
      </c>
    </row>
    <row r="157" spans="1:10" x14ac:dyDescent="0.3">
      <c r="A157">
        <v>1042</v>
      </c>
      <c r="B157" s="1">
        <v>45083</v>
      </c>
      <c r="C157" t="s">
        <v>14</v>
      </c>
      <c r="D157" t="s">
        <v>15</v>
      </c>
      <c r="E157">
        <v>9442.65</v>
      </c>
      <c r="F157">
        <v>20</v>
      </c>
      <c r="G157" t="s">
        <v>26</v>
      </c>
      <c r="H157">
        <v>3115.06</v>
      </c>
      <c r="I157">
        <v>3565.58</v>
      </c>
      <c r="J157">
        <f>Table2[[#This Row],[Sales_Amount]]-(Table2[[#This Row],[Quantity_Sold]]*Table2[[#This Row],[Unit_Cost]])</f>
        <v>-52858.549999999996</v>
      </c>
    </row>
    <row r="158" spans="1:10" x14ac:dyDescent="0.3">
      <c r="A158">
        <v>1077</v>
      </c>
      <c r="B158" s="1">
        <v>44964</v>
      </c>
      <c r="C158" t="s">
        <v>38</v>
      </c>
      <c r="D158" t="s">
        <v>21</v>
      </c>
      <c r="E158">
        <v>9605.34</v>
      </c>
      <c r="F158">
        <v>12</v>
      </c>
      <c r="G158" t="s">
        <v>29</v>
      </c>
      <c r="H158">
        <v>2427.46</v>
      </c>
      <c r="I158">
        <v>2743.09</v>
      </c>
      <c r="J158">
        <f>Table2[[#This Row],[Sales_Amount]]-(Table2[[#This Row],[Quantity_Sold]]*Table2[[#This Row],[Unit_Cost]])</f>
        <v>-19524.18</v>
      </c>
    </row>
    <row r="159" spans="1:10" x14ac:dyDescent="0.3">
      <c r="A159">
        <v>1051</v>
      </c>
      <c r="B159" s="1">
        <v>45023</v>
      </c>
      <c r="C159" t="s">
        <v>42</v>
      </c>
      <c r="D159" t="s">
        <v>21</v>
      </c>
      <c r="E159">
        <v>5262.45</v>
      </c>
      <c r="F159">
        <v>23</v>
      </c>
      <c r="G159" t="s">
        <v>35</v>
      </c>
      <c r="H159">
        <v>3325.43</v>
      </c>
      <c r="I159">
        <v>3401.1</v>
      </c>
      <c r="J159">
        <f>Table2[[#This Row],[Sales_Amount]]-(Table2[[#This Row],[Quantity_Sold]]*Table2[[#This Row],[Unit_Cost]])</f>
        <v>-71222.44</v>
      </c>
    </row>
    <row r="160" spans="1:10" x14ac:dyDescent="0.3">
      <c r="A160">
        <v>1063</v>
      </c>
      <c r="B160" s="1">
        <v>45215</v>
      </c>
      <c r="C160" t="s">
        <v>33</v>
      </c>
      <c r="D160" t="s">
        <v>15</v>
      </c>
      <c r="E160">
        <v>9775.35</v>
      </c>
      <c r="F160">
        <v>4</v>
      </c>
      <c r="G160" t="s">
        <v>29</v>
      </c>
      <c r="H160">
        <v>1134.67</v>
      </c>
      <c r="I160">
        <v>1201.3900000000001</v>
      </c>
      <c r="J160">
        <f>Table2[[#This Row],[Sales_Amount]]-(Table2[[#This Row],[Quantity_Sold]]*Table2[[#This Row],[Unit_Cost]])</f>
        <v>5236.67</v>
      </c>
    </row>
    <row r="161" spans="1:10" x14ac:dyDescent="0.3">
      <c r="A161">
        <v>1096</v>
      </c>
      <c r="B161" s="1">
        <v>45180</v>
      </c>
      <c r="C161" t="s">
        <v>38</v>
      </c>
      <c r="D161" t="s">
        <v>25</v>
      </c>
      <c r="E161">
        <v>7597.37</v>
      </c>
      <c r="F161">
        <v>23</v>
      </c>
      <c r="G161" t="s">
        <v>35</v>
      </c>
      <c r="H161">
        <v>608.57000000000005</v>
      </c>
      <c r="I161">
        <v>1032.22</v>
      </c>
      <c r="J161">
        <f>Table2[[#This Row],[Sales_Amount]]-(Table2[[#This Row],[Quantity_Sold]]*Table2[[#This Row],[Unit_Cost]])</f>
        <v>-6399.7400000000007</v>
      </c>
    </row>
    <row r="162" spans="1:10" x14ac:dyDescent="0.3">
      <c r="A162">
        <v>1052</v>
      </c>
      <c r="B162" s="1">
        <v>45122</v>
      </c>
      <c r="C162" t="s">
        <v>33</v>
      </c>
      <c r="D162" t="s">
        <v>34</v>
      </c>
      <c r="E162">
        <v>1700.55</v>
      </c>
      <c r="F162">
        <v>48</v>
      </c>
      <c r="G162" t="s">
        <v>26</v>
      </c>
      <c r="H162">
        <v>3002.35</v>
      </c>
      <c r="I162">
        <v>3080.61</v>
      </c>
      <c r="J162">
        <f>Table2[[#This Row],[Sales_Amount]]-(Table2[[#This Row],[Quantity_Sold]]*Table2[[#This Row],[Unit_Cost]])</f>
        <v>-142412.25</v>
      </c>
    </row>
    <row r="163" spans="1:10" x14ac:dyDescent="0.3">
      <c r="A163">
        <v>1096</v>
      </c>
      <c r="B163" s="1">
        <v>45012</v>
      </c>
      <c r="C163" t="s">
        <v>42</v>
      </c>
      <c r="D163" t="s">
        <v>15</v>
      </c>
      <c r="E163">
        <v>4821.3100000000004</v>
      </c>
      <c r="F163">
        <v>48</v>
      </c>
      <c r="G163" t="s">
        <v>29</v>
      </c>
      <c r="H163">
        <v>2449.21</v>
      </c>
      <c r="I163">
        <v>2714.12</v>
      </c>
      <c r="J163">
        <f>Table2[[#This Row],[Sales_Amount]]-(Table2[[#This Row],[Quantity_Sold]]*Table2[[#This Row],[Unit_Cost]])</f>
        <v>-112740.77</v>
      </c>
    </row>
    <row r="164" spans="1:10" x14ac:dyDescent="0.3">
      <c r="A164">
        <v>1004</v>
      </c>
      <c r="B164" s="1">
        <v>45248</v>
      </c>
      <c r="C164" t="s">
        <v>42</v>
      </c>
      <c r="D164" t="s">
        <v>34</v>
      </c>
      <c r="E164">
        <v>7211.48</v>
      </c>
      <c r="F164">
        <v>1</v>
      </c>
      <c r="G164" t="s">
        <v>26</v>
      </c>
      <c r="H164">
        <v>182.99</v>
      </c>
      <c r="I164">
        <v>211.18</v>
      </c>
      <c r="J164">
        <f>Table2[[#This Row],[Sales_Amount]]-(Table2[[#This Row],[Quantity_Sold]]*Table2[[#This Row],[Unit_Cost]])</f>
        <v>7028.49</v>
      </c>
    </row>
    <row r="165" spans="1:10" x14ac:dyDescent="0.3">
      <c r="A165">
        <v>1094</v>
      </c>
      <c r="B165" s="1">
        <v>44936</v>
      </c>
      <c r="C165" t="s">
        <v>38</v>
      </c>
      <c r="D165" t="s">
        <v>15</v>
      </c>
      <c r="E165">
        <v>2548.67</v>
      </c>
      <c r="F165">
        <v>25</v>
      </c>
      <c r="G165" t="s">
        <v>35</v>
      </c>
      <c r="H165">
        <v>1933.39</v>
      </c>
      <c r="I165">
        <v>1982.92</v>
      </c>
      <c r="J165">
        <f>Table2[[#This Row],[Sales_Amount]]-(Table2[[#This Row],[Quantity_Sold]]*Table2[[#This Row],[Unit_Cost]])</f>
        <v>-45786.080000000002</v>
      </c>
    </row>
    <row r="166" spans="1:10" x14ac:dyDescent="0.3">
      <c r="A166">
        <v>1023</v>
      </c>
      <c r="B166" s="1">
        <v>44931</v>
      </c>
      <c r="C166" t="s">
        <v>42</v>
      </c>
      <c r="D166" t="s">
        <v>34</v>
      </c>
      <c r="E166">
        <v>6442.09</v>
      </c>
      <c r="F166">
        <v>2</v>
      </c>
      <c r="G166" t="s">
        <v>29</v>
      </c>
      <c r="H166">
        <v>575.32000000000005</v>
      </c>
      <c r="I166">
        <v>914.77</v>
      </c>
      <c r="J166">
        <f>Table2[[#This Row],[Sales_Amount]]-(Table2[[#This Row],[Quantity_Sold]]*Table2[[#This Row],[Unit_Cost]])</f>
        <v>5291.45</v>
      </c>
    </row>
    <row r="167" spans="1:10" x14ac:dyDescent="0.3">
      <c r="A167">
        <v>1015</v>
      </c>
      <c r="B167" s="1">
        <v>45049</v>
      </c>
      <c r="C167" t="s">
        <v>24</v>
      </c>
      <c r="D167" t="s">
        <v>25</v>
      </c>
      <c r="E167">
        <v>6699.34</v>
      </c>
      <c r="F167">
        <v>30</v>
      </c>
      <c r="G167" t="s">
        <v>26</v>
      </c>
      <c r="H167">
        <v>2680.22</v>
      </c>
      <c r="I167">
        <v>3027.9199999999901</v>
      </c>
      <c r="J167">
        <f>Table2[[#This Row],[Sales_Amount]]-(Table2[[#This Row],[Quantity_Sold]]*Table2[[#This Row],[Unit_Cost]])</f>
        <v>-73707.259999999995</v>
      </c>
    </row>
    <row r="168" spans="1:10" x14ac:dyDescent="0.3">
      <c r="A168">
        <v>1043</v>
      </c>
      <c r="B168" s="1">
        <v>45256</v>
      </c>
      <c r="C168" t="s">
        <v>14</v>
      </c>
      <c r="D168" t="s">
        <v>25</v>
      </c>
      <c r="E168">
        <v>1710.73</v>
      </c>
      <c r="F168">
        <v>3</v>
      </c>
      <c r="G168" t="s">
        <v>35</v>
      </c>
      <c r="H168">
        <v>2009.1</v>
      </c>
      <c r="I168">
        <v>2186.42</v>
      </c>
      <c r="J168">
        <f>Table2[[#This Row],[Sales_Amount]]-(Table2[[#This Row],[Quantity_Sold]]*Table2[[#This Row],[Unit_Cost]])</f>
        <v>-4316.57</v>
      </c>
    </row>
    <row r="169" spans="1:10" x14ac:dyDescent="0.3">
      <c r="A169">
        <v>1029</v>
      </c>
      <c r="B169" s="1">
        <v>45279</v>
      </c>
      <c r="C169" t="s">
        <v>38</v>
      </c>
      <c r="D169" t="s">
        <v>15</v>
      </c>
      <c r="E169">
        <v>5694.34</v>
      </c>
      <c r="F169">
        <v>21</v>
      </c>
      <c r="G169" t="s">
        <v>26</v>
      </c>
      <c r="H169">
        <v>3085.1</v>
      </c>
      <c r="I169">
        <v>3200.75</v>
      </c>
      <c r="J169">
        <f>Table2[[#This Row],[Sales_Amount]]-(Table2[[#This Row],[Quantity_Sold]]*Table2[[#This Row],[Unit_Cost]])</f>
        <v>-59092.759999999995</v>
      </c>
    </row>
    <row r="170" spans="1:10" x14ac:dyDescent="0.3">
      <c r="A170">
        <v>1036</v>
      </c>
      <c r="B170" s="1">
        <v>45044</v>
      </c>
      <c r="C170" t="s">
        <v>33</v>
      </c>
      <c r="D170" t="s">
        <v>21</v>
      </c>
      <c r="E170">
        <v>7739.11</v>
      </c>
      <c r="F170">
        <v>25</v>
      </c>
      <c r="G170" t="s">
        <v>16</v>
      </c>
      <c r="H170">
        <v>4037.73</v>
      </c>
      <c r="I170">
        <v>4446.45</v>
      </c>
      <c r="J170">
        <f>Table2[[#This Row],[Sales_Amount]]-(Table2[[#This Row],[Quantity_Sold]]*Table2[[#This Row],[Unit_Cost]])</f>
        <v>-93204.14</v>
      </c>
    </row>
    <row r="171" spans="1:10" x14ac:dyDescent="0.3">
      <c r="A171">
        <v>1013</v>
      </c>
      <c r="B171" s="1">
        <v>45220</v>
      </c>
      <c r="C171" t="s">
        <v>24</v>
      </c>
      <c r="D171" t="s">
        <v>34</v>
      </c>
      <c r="E171">
        <v>5039.07</v>
      </c>
      <c r="F171">
        <v>20</v>
      </c>
      <c r="G171" t="s">
        <v>35</v>
      </c>
      <c r="H171">
        <v>1533.36</v>
      </c>
      <c r="I171">
        <v>1649.73999999999</v>
      </c>
      <c r="J171">
        <f>Table2[[#This Row],[Sales_Amount]]-(Table2[[#This Row],[Quantity_Sold]]*Table2[[#This Row],[Unit_Cost]])</f>
        <v>-25628.129999999997</v>
      </c>
    </row>
    <row r="172" spans="1:10" x14ac:dyDescent="0.3">
      <c r="A172">
        <v>1032</v>
      </c>
      <c r="B172" s="1">
        <v>45085</v>
      </c>
      <c r="C172" t="s">
        <v>38</v>
      </c>
      <c r="D172" t="s">
        <v>21</v>
      </c>
      <c r="E172">
        <v>219.82</v>
      </c>
      <c r="F172">
        <v>49</v>
      </c>
      <c r="G172" t="s">
        <v>35</v>
      </c>
      <c r="H172">
        <v>4812.41</v>
      </c>
      <c r="I172">
        <v>5088</v>
      </c>
      <c r="J172">
        <f>Table2[[#This Row],[Sales_Amount]]-(Table2[[#This Row],[Quantity_Sold]]*Table2[[#This Row],[Unit_Cost]])</f>
        <v>-235588.27</v>
      </c>
    </row>
    <row r="173" spans="1:10" x14ac:dyDescent="0.3">
      <c r="A173">
        <v>1071</v>
      </c>
      <c r="B173" s="1">
        <v>45229</v>
      </c>
      <c r="C173" t="s">
        <v>42</v>
      </c>
      <c r="D173" t="s">
        <v>21</v>
      </c>
      <c r="E173">
        <v>189.48</v>
      </c>
      <c r="F173">
        <v>22</v>
      </c>
      <c r="G173" t="s">
        <v>35</v>
      </c>
      <c r="H173">
        <v>2701.39</v>
      </c>
      <c r="I173">
        <v>3185.81</v>
      </c>
      <c r="J173">
        <f>Table2[[#This Row],[Sales_Amount]]-(Table2[[#This Row],[Quantity_Sold]]*Table2[[#This Row],[Unit_Cost]])</f>
        <v>-59241.099999999991</v>
      </c>
    </row>
    <row r="174" spans="1:10" x14ac:dyDescent="0.3">
      <c r="A174">
        <v>1059</v>
      </c>
      <c r="B174" s="1">
        <v>45154</v>
      </c>
      <c r="C174" t="s">
        <v>42</v>
      </c>
      <c r="D174" t="s">
        <v>21</v>
      </c>
      <c r="E174">
        <v>3634.59</v>
      </c>
      <c r="F174">
        <v>21</v>
      </c>
      <c r="G174" t="s">
        <v>29</v>
      </c>
      <c r="H174">
        <v>3110.54</v>
      </c>
      <c r="I174">
        <v>3192.99</v>
      </c>
      <c r="J174">
        <f>Table2[[#This Row],[Sales_Amount]]-(Table2[[#This Row],[Quantity_Sold]]*Table2[[#This Row],[Unit_Cost]])</f>
        <v>-61686.75</v>
      </c>
    </row>
    <row r="175" spans="1:10" x14ac:dyDescent="0.3">
      <c r="A175">
        <v>1086</v>
      </c>
      <c r="B175" s="1">
        <v>45291</v>
      </c>
      <c r="C175" t="s">
        <v>42</v>
      </c>
      <c r="D175" t="s">
        <v>25</v>
      </c>
      <c r="E175">
        <v>9269.32</v>
      </c>
      <c r="F175">
        <v>33</v>
      </c>
      <c r="G175" t="s">
        <v>29</v>
      </c>
      <c r="H175">
        <v>3419.33</v>
      </c>
      <c r="I175">
        <v>3890.3599999999901</v>
      </c>
      <c r="J175">
        <f>Table2[[#This Row],[Sales_Amount]]-(Table2[[#This Row],[Quantity_Sold]]*Table2[[#This Row],[Unit_Cost]])</f>
        <v>-103568.57</v>
      </c>
    </row>
    <row r="176" spans="1:10" x14ac:dyDescent="0.3">
      <c r="A176">
        <v>1028</v>
      </c>
      <c r="B176" s="1">
        <v>45142</v>
      </c>
      <c r="C176" t="s">
        <v>42</v>
      </c>
      <c r="D176" t="s">
        <v>15</v>
      </c>
      <c r="E176">
        <v>2363.9</v>
      </c>
      <c r="F176">
        <v>38</v>
      </c>
      <c r="G176" t="s">
        <v>29</v>
      </c>
      <c r="H176">
        <v>3350.32</v>
      </c>
      <c r="I176">
        <v>3449.94</v>
      </c>
      <c r="J176">
        <f>Table2[[#This Row],[Sales_Amount]]-(Table2[[#This Row],[Quantity_Sold]]*Table2[[#This Row],[Unit_Cost]])</f>
        <v>-124948.26000000001</v>
      </c>
    </row>
    <row r="177" spans="1:10" x14ac:dyDescent="0.3">
      <c r="A177">
        <v>1066</v>
      </c>
      <c r="B177" s="1">
        <v>45110</v>
      </c>
      <c r="C177" t="s">
        <v>33</v>
      </c>
      <c r="D177" t="s">
        <v>15</v>
      </c>
      <c r="E177">
        <v>6380.2</v>
      </c>
      <c r="F177">
        <v>15</v>
      </c>
      <c r="G177" t="s">
        <v>16</v>
      </c>
      <c r="H177">
        <v>2579.31</v>
      </c>
      <c r="I177">
        <v>2867.36</v>
      </c>
      <c r="J177">
        <f>Table2[[#This Row],[Sales_Amount]]-(Table2[[#This Row],[Quantity_Sold]]*Table2[[#This Row],[Unit_Cost]])</f>
        <v>-32309.45</v>
      </c>
    </row>
    <row r="178" spans="1:10" x14ac:dyDescent="0.3">
      <c r="A178">
        <v>1042</v>
      </c>
      <c r="B178" s="1">
        <v>44941</v>
      </c>
      <c r="C178" t="s">
        <v>24</v>
      </c>
      <c r="D178" t="s">
        <v>25</v>
      </c>
      <c r="E178">
        <v>2298.5500000000002</v>
      </c>
      <c r="F178">
        <v>46</v>
      </c>
      <c r="G178" t="s">
        <v>16</v>
      </c>
      <c r="H178">
        <v>2172.38</v>
      </c>
      <c r="I178">
        <v>2367.11</v>
      </c>
      <c r="J178">
        <f>Table2[[#This Row],[Sales_Amount]]-(Table2[[#This Row],[Quantity_Sold]]*Table2[[#This Row],[Unit_Cost]])</f>
        <v>-97630.930000000008</v>
      </c>
    </row>
    <row r="179" spans="1:10" x14ac:dyDescent="0.3">
      <c r="A179">
        <v>1045</v>
      </c>
      <c r="B179" s="1">
        <v>45083</v>
      </c>
      <c r="C179" t="s">
        <v>14</v>
      </c>
      <c r="D179" t="s">
        <v>25</v>
      </c>
      <c r="E179">
        <v>3284.53</v>
      </c>
      <c r="F179">
        <v>15</v>
      </c>
      <c r="G179" t="s">
        <v>35</v>
      </c>
      <c r="H179">
        <v>316.22000000000003</v>
      </c>
      <c r="I179">
        <v>799.04</v>
      </c>
      <c r="J179">
        <f>Table2[[#This Row],[Sales_Amount]]-(Table2[[#This Row],[Quantity_Sold]]*Table2[[#This Row],[Unit_Cost]])</f>
        <v>-1458.77</v>
      </c>
    </row>
    <row r="180" spans="1:10" x14ac:dyDescent="0.3">
      <c r="A180">
        <v>1062</v>
      </c>
      <c r="B180" s="1">
        <v>45062</v>
      </c>
      <c r="C180" t="s">
        <v>33</v>
      </c>
      <c r="D180" t="s">
        <v>15</v>
      </c>
      <c r="E180">
        <v>8495.6200000000008</v>
      </c>
      <c r="F180">
        <v>46</v>
      </c>
      <c r="G180" t="s">
        <v>16</v>
      </c>
      <c r="H180">
        <v>159.32</v>
      </c>
      <c r="I180">
        <v>303.36</v>
      </c>
      <c r="J180">
        <f>Table2[[#This Row],[Sales_Amount]]-(Table2[[#This Row],[Quantity_Sold]]*Table2[[#This Row],[Unit_Cost]])</f>
        <v>1166.9000000000015</v>
      </c>
    </row>
    <row r="181" spans="1:10" x14ac:dyDescent="0.3">
      <c r="A181">
        <v>1057</v>
      </c>
      <c r="B181" s="1">
        <v>45187</v>
      </c>
      <c r="C181" t="s">
        <v>33</v>
      </c>
      <c r="D181" t="s">
        <v>21</v>
      </c>
      <c r="E181">
        <v>7315.73</v>
      </c>
      <c r="F181">
        <v>25</v>
      </c>
      <c r="G181" t="s">
        <v>26</v>
      </c>
      <c r="H181">
        <v>1821.91</v>
      </c>
      <c r="I181">
        <v>2027.74</v>
      </c>
      <c r="J181">
        <f>Table2[[#This Row],[Sales_Amount]]-(Table2[[#This Row],[Quantity_Sold]]*Table2[[#This Row],[Unit_Cost]])</f>
        <v>-38232.020000000004</v>
      </c>
    </row>
    <row r="182" spans="1:10" x14ac:dyDescent="0.3">
      <c r="A182">
        <v>1006</v>
      </c>
      <c r="B182" s="1">
        <v>45083</v>
      </c>
      <c r="C182" t="s">
        <v>14</v>
      </c>
      <c r="D182" t="s">
        <v>34</v>
      </c>
      <c r="E182">
        <v>1044.45</v>
      </c>
      <c r="F182">
        <v>21</v>
      </c>
      <c r="G182" t="s">
        <v>35</v>
      </c>
      <c r="H182">
        <v>1701.62</v>
      </c>
      <c r="I182">
        <v>2193.2199999999998</v>
      </c>
      <c r="J182">
        <f>Table2[[#This Row],[Sales_Amount]]-(Table2[[#This Row],[Quantity_Sold]]*Table2[[#This Row],[Unit_Cost]])</f>
        <v>-34689.57</v>
      </c>
    </row>
    <row r="183" spans="1:10" x14ac:dyDescent="0.3">
      <c r="A183">
        <v>1028</v>
      </c>
      <c r="B183" s="1">
        <v>44973</v>
      </c>
      <c r="C183" t="s">
        <v>14</v>
      </c>
      <c r="D183" t="s">
        <v>34</v>
      </c>
      <c r="E183">
        <v>4344.1499999999996</v>
      </c>
      <c r="F183">
        <v>24</v>
      </c>
      <c r="G183" t="s">
        <v>35</v>
      </c>
      <c r="H183">
        <v>1969.09</v>
      </c>
      <c r="I183">
        <v>2241.96</v>
      </c>
      <c r="J183">
        <f>Table2[[#This Row],[Sales_Amount]]-(Table2[[#This Row],[Quantity_Sold]]*Table2[[#This Row],[Unit_Cost]])</f>
        <v>-42914.009999999995</v>
      </c>
    </row>
    <row r="184" spans="1:10" x14ac:dyDescent="0.3">
      <c r="A184">
        <v>1028</v>
      </c>
      <c r="B184" s="1">
        <v>45250</v>
      </c>
      <c r="C184" t="s">
        <v>42</v>
      </c>
      <c r="D184" t="s">
        <v>34</v>
      </c>
      <c r="E184">
        <v>388.78</v>
      </c>
      <c r="F184">
        <v>5</v>
      </c>
      <c r="G184" t="s">
        <v>26</v>
      </c>
      <c r="H184">
        <v>734.92</v>
      </c>
      <c r="I184">
        <v>991.21</v>
      </c>
      <c r="J184">
        <f>Table2[[#This Row],[Sales_Amount]]-(Table2[[#This Row],[Quantity_Sold]]*Table2[[#This Row],[Unit_Cost]])</f>
        <v>-3285.8199999999997</v>
      </c>
    </row>
    <row r="185" spans="1:10" x14ac:dyDescent="0.3">
      <c r="A185">
        <v>1044</v>
      </c>
      <c r="B185" s="1">
        <v>45258</v>
      </c>
      <c r="C185" t="s">
        <v>33</v>
      </c>
      <c r="D185" t="s">
        <v>21</v>
      </c>
      <c r="E185">
        <v>4860.8100000000004</v>
      </c>
      <c r="F185">
        <v>6</v>
      </c>
      <c r="G185" t="s">
        <v>35</v>
      </c>
      <c r="H185">
        <v>3703.93</v>
      </c>
      <c r="I185">
        <v>3840.24</v>
      </c>
      <c r="J185">
        <f>Table2[[#This Row],[Sales_Amount]]-(Table2[[#This Row],[Quantity_Sold]]*Table2[[#This Row],[Unit_Cost]])</f>
        <v>-17362.769999999997</v>
      </c>
    </row>
    <row r="186" spans="1:10" x14ac:dyDescent="0.3">
      <c r="A186">
        <v>1084</v>
      </c>
      <c r="B186" s="1">
        <v>45099</v>
      </c>
      <c r="C186" t="s">
        <v>38</v>
      </c>
      <c r="D186" t="s">
        <v>15</v>
      </c>
      <c r="E186">
        <v>6658.1</v>
      </c>
      <c r="F186">
        <v>49</v>
      </c>
      <c r="G186" t="s">
        <v>16</v>
      </c>
      <c r="H186">
        <v>4291.97</v>
      </c>
      <c r="I186">
        <v>4645.6400000000003</v>
      </c>
      <c r="J186">
        <f>Table2[[#This Row],[Sales_Amount]]-(Table2[[#This Row],[Quantity_Sold]]*Table2[[#This Row],[Unit_Cost]])</f>
        <v>-203648.43</v>
      </c>
    </row>
    <row r="187" spans="1:10" x14ac:dyDescent="0.3">
      <c r="A187">
        <v>1030</v>
      </c>
      <c r="B187" s="1">
        <v>45056</v>
      </c>
      <c r="C187" t="s">
        <v>14</v>
      </c>
      <c r="D187" t="s">
        <v>25</v>
      </c>
      <c r="E187">
        <v>1273.18</v>
      </c>
      <c r="F187">
        <v>43</v>
      </c>
      <c r="G187" t="s">
        <v>29</v>
      </c>
      <c r="H187">
        <v>4696.6400000000003</v>
      </c>
      <c r="I187">
        <v>4713.68</v>
      </c>
      <c r="J187">
        <f>Table2[[#This Row],[Sales_Amount]]-(Table2[[#This Row],[Quantity_Sold]]*Table2[[#This Row],[Unit_Cost]])</f>
        <v>-200682.34000000003</v>
      </c>
    </row>
    <row r="188" spans="1:10" x14ac:dyDescent="0.3">
      <c r="A188">
        <v>1062</v>
      </c>
      <c r="B188" s="1">
        <v>45021</v>
      </c>
      <c r="C188" t="s">
        <v>14</v>
      </c>
      <c r="D188" t="s">
        <v>15</v>
      </c>
      <c r="E188">
        <v>2959.96</v>
      </c>
      <c r="F188">
        <v>48</v>
      </c>
      <c r="G188" t="s">
        <v>26</v>
      </c>
      <c r="H188">
        <v>2487.19</v>
      </c>
      <c r="I188">
        <v>2521.4499999999998</v>
      </c>
      <c r="J188">
        <f>Table2[[#This Row],[Sales_Amount]]-(Table2[[#This Row],[Quantity_Sold]]*Table2[[#This Row],[Unit_Cost]])</f>
        <v>-116425.15999999999</v>
      </c>
    </row>
    <row r="189" spans="1:10" x14ac:dyDescent="0.3">
      <c r="A189">
        <v>1075</v>
      </c>
      <c r="B189" s="1">
        <v>45041</v>
      </c>
      <c r="C189" t="s">
        <v>24</v>
      </c>
      <c r="D189" t="s">
        <v>21</v>
      </c>
      <c r="E189">
        <v>4038.58</v>
      </c>
      <c r="F189">
        <v>44</v>
      </c>
      <c r="G189" t="s">
        <v>16</v>
      </c>
      <c r="H189">
        <v>3519.29</v>
      </c>
      <c r="I189">
        <v>3822.98</v>
      </c>
      <c r="J189">
        <f>Table2[[#This Row],[Sales_Amount]]-(Table2[[#This Row],[Quantity_Sold]]*Table2[[#This Row],[Unit_Cost]])</f>
        <v>-150810.18000000002</v>
      </c>
    </row>
    <row r="190" spans="1:10" x14ac:dyDescent="0.3">
      <c r="A190">
        <v>1092</v>
      </c>
      <c r="B190" s="1">
        <v>45169</v>
      </c>
      <c r="C190" t="s">
        <v>38</v>
      </c>
      <c r="D190" t="s">
        <v>25</v>
      </c>
      <c r="E190">
        <v>9203.36</v>
      </c>
      <c r="F190">
        <v>47</v>
      </c>
      <c r="G190" t="s">
        <v>26</v>
      </c>
      <c r="H190">
        <v>4284.9799999999996</v>
      </c>
      <c r="I190">
        <v>4462.3999999999996</v>
      </c>
      <c r="J190">
        <f>Table2[[#This Row],[Sales_Amount]]-(Table2[[#This Row],[Quantity_Sold]]*Table2[[#This Row],[Unit_Cost]])</f>
        <v>-192190.69999999995</v>
      </c>
    </row>
    <row r="191" spans="1:10" x14ac:dyDescent="0.3">
      <c r="A191">
        <v>1089</v>
      </c>
      <c r="B191" s="1">
        <v>45218</v>
      </c>
      <c r="C191" t="s">
        <v>38</v>
      </c>
      <c r="D191" t="s">
        <v>21</v>
      </c>
      <c r="E191">
        <v>9933.2199999999993</v>
      </c>
      <c r="F191">
        <v>23</v>
      </c>
      <c r="G191" t="s">
        <v>26</v>
      </c>
      <c r="H191">
        <v>2120.54</v>
      </c>
      <c r="I191">
        <v>2597.67</v>
      </c>
      <c r="J191">
        <f>Table2[[#This Row],[Sales_Amount]]-(Table2[[#This Row],[Quantity_Sold]]*Table2[[#This Row],[Unit_Cost]])</f>
        <v>-38839.199999999997</v>
      </c>
    </row>
    <row r="192" spans="1:10" x14ac:dyDescent="0.3">
      <c r="A192">
        <v>1062</v>
      </c>
      <c r="B192" s="1">
        <v>45208</v>
      </c>
      <c r="C192" t="s">
        <v>14</v>
      </c>
      <c r="D192" t="s">
        <v>34</v>
      </c>
      <c r="E192">
        <v>544.62</v>
      </c>
      <c r="F192">
        <v>4</v>
      </c>
      <c r="G192" t="s">
        <v>35</v>
      </c>
      <c r="H192">
        <v>1581.59</v>
      </c>
      <c r="I192">
        <v>2034.1499999999901</v>
      </c>
      <c r="J192">
        <f>Table2[[#This Row],[Sales_Amount]]-(Table2[[#This Row],[Quantity_Sold]]*Table2[[#This Row],[Unit_Cost]])</f>
        <v>-5781.74</v>
      </c>
    </row>
    <row r="193" spans="1:10" x14ac:dyDescent="0.3">
      <c r="A193">
        <v>1097</v>
      </c>
      <c r="B193" s="1">
        <v>45225</v>
      </c>
      <c r="C193" t="s">
        <v>42</v>
      </c>
      <c r="D193" t="s">
        <v>34</v>
      </c>
      <c r="E193">
        <v>7633.98</v>
      </c>
      <c r="F193">
        <v>27</v>
      </c>
      <c r="G193" t="s">
        <v>35</v>
      </c>
      <c r="H193">
        <v>4686.79</v>
      </c>
      <c r="I193">
        <v>5046.51</v>
      </c>
      <c r="J193">
        <f>Table2[[#This Row],[Sales_Amount]]-(Table2[[#This Row],[Quantity_Sold]]*Table2[[#This Row],[Unit_Cost]])</f>
        <v>-118909.35</v>
      </c>
    </row>
    <row r="194" spans="1:10" x14ac:dyDescent="0.3">
      <c r="A194">
        <v>1001</v>
      </c>
      <c r="B194" s="1">
        <v>45209</v>
      </c>
      <c r="C194" t="s">
        <v>24</v>
      </c>
      <c r="D194" t="s">
        <v>21</v>
      </c>
      <c r="E194">
        <v>3780.07</v>
      </c>
      <c r="F194">
        <v>18</v>
      </c>
      <c r="G194" t="s">
        <v>16</v>
      </c>
      <c r="H194">
        <v>2602.6</v>
      </c>
      <c r="I194">
        <v>3013.49</v>
      </c>
      <c r="J194">
        <f>Table2[[#This Row],[Sales_Amount]]-(Table2[[#This Row],[Quantity_Sold]]*Table2[[#This Row],[Unit_Cost]])</f>
        <v>-43066.729999999996</v>
      </c>
    </row>
    <row r="195" spans="1:10" x14ac:dyDescent="0.3">
      <c r="A195">
        <v>1027</v>
      </c>
      <c r="B195" s="1">
        <v>44995</v>
      </c>
      <c r="C195" t="s">
        <v>38</v>
      </c>
      <c r="D195" t="s">
        <v>25</v>
      </c>
      <c r="E195">
        <v>3985.34</v>
      </c>
      <c r="F195">
        <v>21</v>
      </c>
      <c r="G195" t="s">
        <v>26</v>
      </c>
      <c r="H195">
        <v>2511.41</v>
      </c>
      <c r="I195">
        <v>2848.3999999999901</v>
      </c>
      <c r="J195">
        <f>Table2[[#This Row],[Sales_Amount]]-(Table2[[#This Row],[Quantity_Sold]]*Table2[[#This Row],[Unit_Cost]])</f>
        <v>-48754.270000000004</v>
      </c>
    </row>
    <row r="196" spans="1:10" x14ac:dyDescent="0.3">
      <c r="A196">
        <v>1062</v>
      </c>
      <c r="B196" s="1">
        <v>45074</v>
      </c>
      <c r="C196" t="s">
        <v>14</v>
      </c>
      <c r="D196" t="s">
        <v>25</v>
      </c>
      <c r="E196">
        <v>7567.22</v>
      </c>
      <c r="F196">
        <v>28</v>
      </c>
      <c r="G196" t="s">
        <v>35</v>
      </c>
      <c r="H196">
        <v>933.16</v>
      </c>
      <c r="I196">
        <v>1004.69999999999</v>
      </c>
      <c r="J196">
        <f>Table2[[#This Row],[Sales_Amount]]-(Table2[[#This Row],[Quantity_Sold]]*Table2[[#This Row],[Unit_Cost]])</f>
        <v>-18561.259999999998</v>
      </c>
    </row>
    <row r="197" spans="1:10" x14ac:dyDescent="0.3">
      <c r="A197">
        <v>1077</v>
      </c>
      <c r="B197" s="1">
        <v>44937</v>
      </c>
      <c r="C197" t="s">
        <v>38</v>
      </c>
      <c r="D197" t="s">
        <v>15</v>
      </c>
      <c r="E197">
        <v>9192.42</v>
      </c>
      <c r="F197">
        <v>35</v>
      </c>
      <c r="G197" t="s">
        <v>35</v>
      </c>
      <c r="H197">
        <v>585.37</v>
      </c>
      <c r="I197">
        <v>970.49</v>
      </c>
      <c r="J197">
        <f>Table2[[#This Row],[Sales_Amount]]-(Table2[[#This Row],[Quantity_Sold]]*Table2[[#This Row],[Unit_Cost]])</f>
        <v>-11295.53</v>
      </c>
    </row>
    <row r="198" spans="1:10" x14ac:dyDescent="0.3">
      <c r="A198">
        <v>1003</v>
      </c>
      <c r="B198" s="1">
        <v>45180</v>
      </c>
      <c r="C198" t="s">
        <v>24</v>
      </c>
      <c r="D198" t="s">
        <v>34</v>
      </c>
      <c r="E198">
        <v>9514.19</v>
      </c>
      <c r="F198">
        <v>22</v>
      </c>
      <c r="G198" t="s">
        <v>26</v>
      </c>
      <c r="H198">
        <v>4218.43</v>
      </c>
      <c r="I198">
        <v>4331.42</v>
      </c>
      <c r="J198">
        <f>Table2[[#This Row],[Sales_Amount]]-(Table2[[#This Row],[Quantity_Sold]]*Table2[[#This Row],[Unit_Cost]])</f>
        <v>-83291.27</v>
      </c>
    </row>
    <row r="199" spans="1:10" x14ac:dyDescent="0.3">
      <c r="A199">
        <v>1070</v>
      </c>
      <c r="B199" s="1">
        <v>45256</v>
      </c>
      <c r="C199" t="s">
        <v>24</v>
      </c>
      <c r="D199" t="s">
        <v>15</v>
      </c>
      <c r="E199">
        <v>5813.51</v>
      </c>
      <c r="F199">
        <v>40</v>
      </c>
      <c r="G199" t="s">
        <v>16</v>
      </c>
      <c r="H199">
        <v>3089.96</v>
      </c>
      <c r="I199">
        <v>3258.45</v>
      </c>
      <c r="J199">
        <f>Table2[[#This Row],[Sales_Amount]]-(Table2[[#This Row],[Quantity_Sold]]*Table2[[#This Row],[Unit_Cost]])</f>
        <v>-117784.89</v>
      </c>
    </row>
    <row r="200" spans="1:10" x14ac:dyDescent="0.3">
      <c r="A200">
        <v>1072</v>
      </c>
      <c r="B200" s="1">
        <v>45286</v>
      </c>
      <c r="C200" t="s">
        <v>33</v>
      </c>
      <c r="D200" t="s">
        <v>15</v>
      </c>
      <c r="E200">
        <v>3635.5</v>
      </c>
      <c r="F200">
        <v>23</v>
      </c>
      <c r="G200" t="s">
        <v>16</v>
      </c>
      <c r="H200">
        <v>1662.83</v>
      </c>
      <c r="I200">
        <v>2074.25</v>
      </c>
      <c r="J200">
        <f>Table2[[#This Row],[Sales_Amount]]-(Table2[[#This Row],[Quantity_Sold]]*Table2[[#This Row],[Unit_Cost]])</f>
        <v>-34609.589999999997</v>
      </c>
    </row>
    <row r="201" spans="1:10" x14ac:dyDescent="0.3">
      <c r="A201">
        <v>1027</v>
      </c>
      <c r="B201" s="1">
        <v>44964</v>
      </c>
      <c r="C201" t="s">
        <v>14</v>
      </c>
      <c r="D201" t="s">
        <v>21</v>
      </c>
      <c r="E201">
        <v>7896.74</v>
      </c>
      <c r="F201">
        <v>3</v>
      </c>
      <c r="G201" t="s">
        <v>26</v>
      </c>
      <c r="H201">
        <v>999.09</v>
      </c>
      <c r="I201">
        <v>1271.99</v>
      </c>
      <c r="J201">
        <f>Table2[[#This Row],[Sales_Amount]]-(Table2[[#This Row],[Quantity_Sold]]*Table2[[#This Row],[Unit_Cost]])</f>
        <v>4899.4699999999993</v>
      </c>
    </row>
    <row r="202" spans="1:10" x14ac:dyDescent="0.3">
      <c r="A202">
        <v>1009</v>
      </c>
      <c r="B202" s="1">
        <v>45060</v>
      </c>
      <c r="C202" t="s">
        <v>24</v>
      </c>
      <c r="D202" t="s">
        <v>21</v>
      </c>
      <c r="E202">
        <v>2584.91</v>
      </c>
      <c r="F202">
        <v>40</v>
      </c>
      <c r="G202" t="s">
        <v>16</v>
      </c>
      <c r="H202">
        <v>2799.71</v>
      </c>
      <c r="I202">
        <v>3231.08</v>
      </c>
      <c r="J202">
        <f>Table2[[#This Row],[Sales_Amount]]-(Table2[[#This Row],[Quantity_Sold]]*Table2[[#This Row],[Unit_Cost]])</f>
        <v>-109403.48999999999</v>
      </c>
    </row>
    <row r="203" spans="1:10" x14ac:dyDescent="0.3">
      <c r="A203">
        <v>1062</v>
      </c>
      <c r="B203" s="1">
        <v>45126</v>
      </c>
      <c r="C203" t="s">
        <v>33</v>
      </c>
      <c r="D203" t="s">
        <v>15</v>
      </c>
      <c r="E203">
        <v>5684.33</v>
      </c>
      <c r="F203">
        <v>10</v>
      </c>
      <c r="G203" t="s">
        <v>35</v>
      </c>
      <c r="H203">
        <v>2940.4</v>
      </c>
      <c r="I203">
        <v>3054.79</v>
      </c>
      <c r="J203">
        <f>Table2[[#This Row],[Sales_Amount]]-(Table2[[#This Row],[Quantity_Sold]]*Table2[[#This Row],[Unit_Cost]])</f>
        <v>-23719.67</v>
      </c>
    </row>
    <row r="204" spans="1:10" x14ac:dyDescent="0.3">
      <c r="A204">
        <v>1037</v>
      </c>
      <c r="B204" s="1">
        <v>44949</v>
      </c>
      <c r="C204" t="s">
        <v>33</v>
      </c>
      <c r="D204" t="s">
        <v>34</v>
      </c>
      <c r="E204">
        <v>3649.93</v>
      </c>
      <c r="F204">
        <v>25</v>
      </c>
      <c r="G204" t="s">
        <v>26</v>
      </c>
      <c r="H204">
        <v>1074.6199999999999</v>
      </c>
      <c r="I204">
        <v>1382.4299999999901</v>
      </c>
      <c r="J204">
        <f>Table2[[#This Row],[Sales_Amount]]-(Table2[[#This Row],[Quantity_Sold]]*Table2[[#This Row],[Unit_Cost]])</f>
        <v>-23215.569999999996</v>
      </c>
    </row>
    <row r="205" spans="1:10" x14ac:dyDescent="0.3">
      <c r="A205">
        <v>1097</v>
      </c>
      <c r="B205" s="1">
        <v>45229</v>
      </c>
      <c r="C205" t="s">
        <v>38</v>
      </c>
      <c r="D205" t="s">
        <v>21</v>
      </c>
      <c r="E205">
        <v>6600.65</v>
      </c>
      <c r="F205">
        <v>49</v>
      </c>
      <c r="G205" t="s">
        <v>35</v>
      </c>
      <c r="H205">
        <v>4264.46</v>
      </c>
      <c r="I205">
        <v>4315.5200000000004</v>
      </c>
      <c r="J205">
        <f>Table2[[#This Row],[Sales_Amount]]-(Table2[[#This Row],[Quantity_Sold]]*Table2[[#This Row],[Unit_Cost]])</f>
        <v>-202357.89</v>
      </c>
    </row>
    <row r="206" spans="1:10" x14ac:dyDescent="0.3">
      <c r="A206">
        <v>1051</v>
      </c>
      <c r="B206" s="1">
        <v>45272</v>
      </c>
      <c r="C206" t="s">
        <v>38</v>
      </c>
      <c r="D206" t="s">
        <v>15</v>
      </c>
      <c r="E206">
        <v>2479.9499999999998</v>
      </c>
      <c r="F206">
        <v>8</v>
      </c>
      <c r="G206" t="s">
        <v>29</v>
      </c>
      <c r="H206">
        <v>467.11</v>
      </c>
      <c r="I206">
        <v>792.21</v>
      </c>
      <c r="J206">
        <f>Table2[[#This Row],[Sales_Amount]]-(Table2[[#This Row],[Quantity_Sold]]*Table2[[#This Row],[Unit_Cost]])</f>
        <v>-1256.9300000000003</v>
      </c>
    </row>
    <row r="207" spans="1:10" x14ac:dyDescent="0.3">
      <c r="A207">
        <v>1044</v>
      </c>
      <c r="B207" s="1">
        <v>45228</v>
      </c>
      <c r="C207" t="s">
        <v>33</v>
      </c>
      <c r="D207" t="s">
        <v>15</v>
      </c>
      <c r="E207">
        <v>1996.77</v>
      </c>
      <c r="F207">
        <v>11</v>
      </c>
      <c r="G207" t="s">
        <v>29</v>
      </c>
      <c r="H207">
        <v>1812.66</v>
      </c>
      <c r="I207">
        <v>2196.3000000000002</v>
      </c>
      <c r="J207">
        <f>Table2[[#This Row],[Sales_Amount]]-(Table2[[#This Row],[Quantity_Sold]]*Table2[[#This Row],[Unit_Cost]])</f>
        <v>-17942.490000000002</v>
      </c>
    </row>
    <row r="208" spans="1:10" x14ac:dyDescent="0.3">
      <c r="A208">
        <v>1024</v>
      </c>
      <c r="B208" s="1">
        <v>45289</v>
      </c>
      <c r="C208" t="s">
        <v>38</v>
      </c>
      <c r="D208" t="s">
        <v>15</v>
      </c>
      <c r="E208">
        <v>9190.57</v>
      </c>
      <c r="F208">
        <v>5</v>
      </c>
      <c r="G208" t="s">
        <v>16</v>
      </c>
      <c r="H208">
        <v>3417.9</v>
      </c>
      <c r="I208">
        <v>3714.52</v>
      </c>
      <c r="J208">
        <f>Table2[[#This Row],[Sales_Amount]]-(Table2[[#This Row],[Quantity_Sold]]*Table2[[#This Row],[Unit_Cost]])</f>
        <v>-7898.93</v>
      </c>
    </row>
    <row r="209" spans="1:10" x14ac:dyDescent="0.3">
      <c r="A209">
        <v>1079</v>
      </c>
      <c r="B209" s="1">
        <v>45144</v>
      </c>
      <c r="C209" t="s">
        <v>24</v>
      </c>
      <c r="D209" t="s">
        <v>15</v>
      </c>
      <c r="E209">
        <v>1107.8599999999999</v>
      </c>
      <c r="F209">
        <v>45</v>
      </c>
      <c r="G209" t="s">
        <v>29</v>
      </c>
      <c r="H209">
        <v>1406.9</v>
      </c>
      <c r="I209">
        <v>1547.35</v>
      </c>
      <c r="J209">
        <f>Table2[[#This Row],[Sales_Amount]]-(Table2[[#This Row],[Quantity_Sold]]*Table2[[#This Row],[Unit_Cost]])</f>
        <v>-62202.640000000007</v>
      </c>
    </row>
    <row r="210" spans="1:10" x14ac:dyDescent="0.3">
      <c r="A210">
        <v>1059</v>
      </c>
      <c r="B210" s="1">
        <v>45067</v>
      </c>
      <c r="C210" t="s">
        <v>42</v>
      </c>
      <c r="D210" t="s">
        <v>15</v>
      </c>
      <c r="E210">
        <v>5108.9799999999996</v>
      </c>
      <c r="F210">
        <v>37</v>
      </c>
      <c r="G210" t="s">
        <v>35</v>
      </c>
      <c r="H210">
        <v>4146.99</v>
      </c>
      <c r="I210">
        <v>4172.3499999999904</v>
      </c>
      <c r="J210">
        <f>Table2[[#This Row],[Sales_Amount]]-(Table2[[#This Row],[Quantity_Sold]]*Table2[[#This Row],[Unit_Cost]])</f>
        <v>-148329.65</v>
      </c>
    </row>
    <row r="211" spans="1:10" x14ac:dyDescent="0.3">
      <c r="A211">
        <v>1032</v>
      </c>
      <c r="B211" s="1">
        <v>45030</v>
      </c>
      <c r="C211" t="s">
        <v>24</v>
      </c>
      <c r="D211" t="s">
        <v>15</v>
      </c>
      <c r="E211">
        <v>2286.44</v>
      </c>
      <c r="F211">
        <v>45</v>
      </c>
      <c r="G211" t="s">
        <v>29</v>
      </c>
      <c r="H211">
        <v>3712.35</v>
      </c>
      <c r="I211">
        <v>3780.88</v>
      </c>
      <c r="J211">
        <f>Table2[[#This Row],[Sales_Amount]]-(Table2[[#This Row],[Quantity_Sold]]*Table2[[#This Row],[Unit_Cost]])</f>
        <v>-164769.31</v>
      </c>
    </row>
    <row r="212" spans="1:10" x14ac:dyDescent="0.3">
      <c r="A212">
        <v>1096</v>
      </c>
      <c r="B212" s="1">
        <v>45136</v>
      </c>
      <c r="C212" t="s">
        <v>33</v>
      </c>
      <c r="D212" t="s">
        <v>21</v>
      </c>
      <c r="E212">
        <v>485.41</v>
      </c>
      <c r="F212">
        <v>38</v>
      </c>
      <c r="G212" t="s">
        <v>35</v>
      </c>
      <c r="H212">
        <v>3955.66</v>
      </c>
      <c r="I212">
        <v>4270.59</v>
      </c>
      <c r="J212">
        <f>Table2[[#This Row],[Sales_Amount]]-(Table2[[#This Row],[Quantity_Sold]]*Table2[[#This Row],[Unit_Cost]])</f>
        <v>-149829.66999999998</v>
      </c>
    </row>
    <row r="213" spans="1:10" x14ac:dyDescent="0.3">
      <c r="A213">
        <v>1088</v>
      </c>
      <c r="B213" s="1">
        <v>45037</v>
      </c>
      <c r="C213" t="s">
        <v>33</v>
      </c>
      <c r="D213" t="s">
        <v>34</v>
      </c>
      <c r="E213">
        <v>456.59</v>
      </c>
      <c r="F213">
        <v>29</v>
      </c>
      <c r="G213" t="s">
        <v>16</v>
      </c>
      <c r="H213">
        <v>639.58000000000004</v>
      </c>
      <c r="I213">
        <v>1107.45</v>
      </c>
      <c r="J213">
        <f>Table2[[#This Row],[Sales_Amount]]-(Table2[[#This Row],[Quantity_Sold]]*Table2[[#This Row],[Unit_Cost]])</f>
        <v>-18091.23</v>
      </c>
    </row>
    <row r="214" spans="1:10" x14ac:dyDescent="0.3">
      <c r="A214">
        <v>1052</v>
      </c>
      <c r="B214" s="1">
        <v>45030</v>
      </c>
      <c r="C214" t="s">
        <v>24</v>
      </c>
      <c r="D214" t="s">
        <v>15</v>
      </c>
      <c r="E214">
        <v>1834.7</v>
      </c>
      <c r="F214">
        <v>5</v>
      </c>
      <c r="G214" t="s">
        <v>16</v>
      </c>
      <c r="H214">
        <v>745.71</v>
      </c>
      <c r="I214">
        <v>856.91</v>
      </c>
      <c r="J214">
        <f>Table2[[#This Row],[Sales_Amount]]-(Table2[[#This Row],[Quantity_Sold]]*Table2[[#This Row],[Unit_Cost]])</f>
        <v>-1893.8500000000001</v>
      </c>
    </row>
    <row r="215" spans="1:10" x14ac:dyDescent="0.3">
      <c r="A215">
        <v>1062</v>
      </c>
      <c r="B215" s="1">
        <v>45242</v>
      </c>
      <c r="C215" t="s">
        <v>38</v>
      </c>
      <c r="D215" t="s">
        <v>25</v>
      </c>
      <c r="E215">
        <v>8681.0300000000007</v>
      </c>
      <c r="F215">
        <v>9</v>
      </c>
      <c r="G215" t="s">
        <v>35</v>
      </c>
      <c r="H215">
        <v>1468.05</v>
      </c>
      <c r="I215">
        <v>1838.21</v>
      </c>
      <c r="J215">
        <f>Table2[[#This Row],[Sales_Amount]]-(Table2[[#This Row],[Quantity_Sold]]*Table2[[#This Row],[Unit_Cost]])</f>
        <v>-4531.4199999999983</v>
      </c>
    </row>
    <row r="216" spans="1:10" x14ac:dyDescent="0.3">
      <c r="A216">
        <v>1058</v>
      </c>
      <c r="B216" s="1">
        <v>45097</v>
      </c>
      <c r="C216" t="s">
        <v>38</v>
      </c>
      <c r="D216" t="s">
        <v>21</v>
      </c>
      <c r="E216">
        <v>2896.54</v>
      </c>
      <c r="F216">
        <v>48</v>
      </c>
      <c r="G216" t="s">
        <v>29</v>
      </c>
      <c r="H216">
        <v>2614.48</v>
      </c>
      <c r="I216">
        <v>3049.04</v>
      </c>
      <c r="J216">
        <f>Table2[[#This Row],[Sales_Amount]]-(Table2[[#This Row],[Quantity_Sold]]*Table2[[#This Row],[Unit_Cost]])</f>
        <v>-122598.50000000001</v>
      </c>
    </row>
    <row r="217" spans="1:10" x14ac:dyDescent="0.3">
      <c r="A217">
        <v>1052</v>
      </c>
      <c r="B217" s="1">
        <v>45282</v>
      </c>
      <c r="C217" t="s">
        <v>33</v>
      </c>
      <c r="D217" t="s">
        <v>21</v>
      </c>
      <c r="E217">
        <v>9509.5499999999993</v>
      </c>
      <c r="F217">
        <v>2</v>
      </c>
      <c r="G217" t="s">
        <v>16</v>
      </c>
      <c r="H217">
        <v>3752.68</v>
      </c>
      <c r="I217">
        <v>4017.91</v>
      </c>
      <c r="J217">
        <f>Table2[[#This Row],[Sales_Amount]]-(Table2[[#This Row],[Quantity_Sold]]*Table2[[#This Row],[Unit_Cost]])</f>
        <v>2004.1899999999996</v>
      </c>
    </row>
    <row r="218" spans="1:10" x14ac:dyDescent="0.3">
      <c r="A218">
        <v>1012</v>
      </c>
      <c r="B218" s="1">
        <v>45250</v>
      </c>
      <c r="C218" t="s">
        <v>14</v>
      </c>
      <c r="D218" t="s">
        <v>15</v>
      </c>
      <c r="E218">
        <v>5858.06</v>
      </c>
      <c r="F218">
        <v>1</v>
      </c>
      <c r="G218" t="s">
        <v>26</v>
      </c>
      <c r="H218">
        <v>4190.83</v>
      </c>
      <c r="I218">
        <v>4528.7699999999904</v>
      </c>
      <c r="J218">
        <f>Table2[[#This Row],[Sales_Amount]]-(Table2[[#This Row],[Quantity_Sold]]*Table2[[#This Row],[Unit_Cost]])</f>
        <v>1667.2300000000005</v>
      </c>
    </row>
    <row r="219" spans="1:10" x14ac:dyDescent="0.3">
      <c r="A219">
        <v>1039</v>
      </c>
      <c r="B219" s="1">
        <v>45059</v>
      </c>
      <c r="C219" t="s">
        <v>38</v>
      </c>
      <c r="D219" t="s">
        <v>21</v>
      </c>
      <c r="E219">
        <v>4422.4799999999996</v>
      </c>
      <c r="F219">
        <v>40</v>
      </c>
      <c r="G219" t="s">
        <v>16</v>
      </c>
      <c r="H219">
        <v>3536.46</v>
      </c>
      <c r="I219">
        <v>3945.82</v>
      </c>
      <c r="J219">
        <f>Table2[[#This Row],[Sales_Amount]]-(Table2[[#This Row],[Quantity_Sold]]*Table2[[#This Row],[Unit_Cost]])</f>
        <v>-137035.91999999998</v>
      </c>
    </row>
    <row r="220" spans="1:10" x14ac:dyDescent="0.3">
      <c r="A220">
        <v>1002</v>
      </c>
      <c r="B220" s="1">
        <v>45219</v>
      </c>
      <c r="C220" t="s">
        <v>24</v>
      </c>
      <c r="D220" t="s">
        <v>15</v>
      </c>
      <c r="E220">
        <v>5842.88</v>
      </c>
      <c r="F220">
        <v>30</v>
      </c>
      <c r="G220" t="s">
        <v>29</v>
      </c>
      <c r="H220">
        <v>4646.55</v>
      </c>
      <c r="I220">
        <v>4784.28</v>
      </c>
      <c r="J220">
        <f>Table2[[#This Row],[Sales_Amount]]-(Table2[[#This Row],[Quantity_Sold]]*Table2[[#This Row],[Unit_Cost]])</f>
        <v>-133553.62</v>
      </c>
    </row>
    <row r="221" spans="1:10" x14ac:dyDescent="0.3">
      <c r="A221">
        <v>1003</v>
      </c>
      <c r="B221" s="1">
        <v>45254</v>
      </c>
      <c r="C221" t="s">
        <v>38</v>
      </c>
      <c r="D221" t="s">
        <v>34</v>
      </c>
      <c r="E221">
        <v>5215.3100000000004</v>
      </c>
      <c r="F221">
        <v>11</v>
      </c>
      <c r="G221" t="s">
        <v>26</v>
      </c>
      <c r="H221">
        <v>3706.78</v>
      </c>
      <c r="I221">
        <v>3862.26</v>
      </c>
      <c r="J221">
        <f>Table2[[#This Row],[Sales_Amount]]-(Table2[[#This Row],[Quantity_Sold]]*Table2[[#This Row],[Unit_Cost]])</f>
        <v>-35559.270000000004</v>
      </c>
    </row>
    <row r="222" spans="1:10" x14ac:dyDescent="0.3">
      <c r="A222">
        <v>1056</v>
      </c>
      <c r="B222" s="1">
        <v>45053</v>
      </c>
      <c r="C222" t="s">
        <v>24</v>
      </c>
      <c r="D222" t="s">
        <v>34</v>
      </c>
      <c r="E222">
        <v>7611.88</v>
      </c>
      <c r="F222">
        <v>28</v>
      </c>
      <c r="G222" t="s">
        <v>29</v>
      </c>
      <c r="H222">
        <v>1566.03</v>
      </c>
      <c r="I222">
        <v>1576.34</v>
      </c>
      <c r="J222">
        <f>Table2[[#This Row],[Sales_Amount]]-(Table2[[#This Row],[Quantity_Sold]]*Table2[[#This Row],[Unit_Cost]])</f>
        <v>-36236.959999999999</v>
      </c>
    </row>
    <row r="223" spans="1:10" x14ac:dyDescent="0.3">
      <c r="A223">
        <v>1081</v>
      </c>
      <c r="B223" s="1">
        <v>45032</v>
      </c>
      <c r="C223" t="s">
        <v>33</v>
      </c>
      <c r="D223" t="s">
        <v>21</v>
      </c>
      <c r="E223">
        <v>2896.71</v>
      </c>
      <c r="F223">
        <v>44</v>
      </c>
      <c r="G223" t="s">
        <v>35</v>
      </c>
      <c r="H223">
        <v>1362.15</v>
      </c>
      <c r="I223">
        <v>1844.07</v>
      </c>
      <c r="J223">
        <f>Table2[[#This Row],[Sales_Amount]]-(Table2[[#This Row],[Quantity_Sold]]*Table2[[#This Row],[Unit_Cost]])</f>
        <v>-57037.890000000007</v>
      </c>
    </row>
    <row r="224" spans="1:10" x14ac:dyDescent="0.3">
      <c r="A224">
        <v>1059</v>
      </c>
      <c r="B224" s="1">
        <v>45018</v>
      </c>
      <c r="C224" t="s">
        <v>38</v>
      </c>
      <c r="D224" t="s">
        <v>21</v>
      </c>
      <c r="E224">
        <v>3595.2</v>
      </c>
      <c r="F224">
        <v>12</v>
      </c>
      <c r="G224" t="s">
        <v>26</v>
      </c>
      <c r="H224">
        <v>3496.15</v>
      </c>
      <c r="I224">
        <v>3955.75</v>
      </c>
      <c r="J224">
        <f>Table2[[#This Row],[Sales_Amount]]-(Table2[[#This Row],[Quantity_Sold]]*Table2[[#This Row],[Unit_Cost]])</f>
        <v>-38358.600000000006</v>
      </c>
    </row>
    <row r="225" spans="1:10" x14ac:dyDescent="0.3">
      <c r="A225">
        <v>1002</v>
      </c>
      <c r="B225" s="1">
        <v>45213</v>
      </c>
      <c r="C225" t="s">
        <v>24</v>
      </c>
      <c r="D225" t="s">
        <v>25</v>
      </c>
      <c r="E225">
        <v>8951.5300000000007</v>
      </c>
      <c r="F225">
        <v>39</v>
      </c>
      <c r="G225" t="s">
        <v>29</v>
      </c>
      <c r="H225">
        <v>1004.71</v>
      </c>
      <c r="I225">
        <v>1389.35</v>
      </c>
      <c r="J225">
        <f>Table2[[#This Row],[Sales_Amount]]-(Table2[[#This Row],[Quantity_Sold]]*Table2[[#This Row],[Unit_Cost]])</f>
        <v>-30232.160000000003</v>
      </c>
    </row>
    <row r="226" spans="1:10" x14ac:dyDescent="0.3">
      <c r="A226">
        <v>1002</v>
      </c>
      <c r="B226" s="1">
        <v>44977</v>
      </c>
      <c r="C226" t="s">
        <v>33</v>
      </c>
      <c r="D226" t="s">
        <v>21</v>
      </c>
      <c r="E226">
        <v>9469.92</v>
      </c>
      <c r="F226">
        <v>26</v>
      </c>
      <c r="G226" t="s">
        <v>26</v>
      </c>
      <c r="H226">
        <v>508.94</v>
      </c>
      <c r="I226">
        <v>557.69000000000005</v>
      </c>
      <c r="J226">
        <f>Table2[[#This Row],[Sales_Amount]]-(Table2[[#This Row],[Quantity_Sold]]*Table2[[#This Row],[Unit_Cost]])</f>
        <v>-3762.5200000000004</v>
      </c>
    </row>
    <row r="227" spans="1:10" x14ac:dyDescent="0.3">
      <c r="A227">
        <v>1092</v>
      </c>
      <c r="B227" s="1">
        <v>44955</v>
      </c>
      <c r="C227" t="s">
        <v>14</v>
      </c>
      <c r="D227" t="s">
        <v>25</v>
      </c>
      <c r="E227">
        <v>8936.33</v>
      </c>
      <c r="F227">
        <v>13</v>
      </c>
      <c r="G227" t="s">
        <v>29</v>
      </c>
      <c r="H227">
        <v>2684.5</v>
      </c>
      <c r="I227">
        <v>2913.78</v>
      </c>
      <c r="J227">
        <f>Table2[[#This Row],[Sales_Amount]]-(Table2[[#This Row],[Quantity_Sold]]*Table2[[#This Row],[Unit_Cost]])</f>
        <v>-25962.17</v>
      </c>
    </row>
    <row r="228" spans="1:10" x14ac:dyDescent="0.3">
      <c r="A228">
        <v>1054</v>
      </c>
      <c r="B228" s="1">
        <v>45222</v>
      </c>
      <c r="C228" t="s">
        <v>24</v>
      </c>
      <c r="D228" t="s">
        <v>34</v>
      </c>
      <c r="E228">
        <v>4252.54</v>
      </c>
      <c r="F228">
        <v>8</v>
      </c>
      <c r="G228" t="s">
        <v>26</v>
      </c>
      <c r="H228">
        <v>4117.13</v>
      </c>
      <c r="I228">
        <v>4177.0600000000004</v>
      </c>
      <c r="J228">
        <f>Table2[[#This Row],[Sales_Amount]]-(Table2[[#This Row],[Quantity_Sold]]*Table2[[#This Row],[Unit_Cost]])</f>
        <v>-28684.5</v>
      </c>
    </row>
    <row r="229" spans="1:10" x14ac:dyDescent="0.3">
      <c r="A229">
        <v>1087</v>
      </c>
      <c r="B229" s="1">
        <v>45223</v>
      </c>
      <c r="C229" t="s">
        <v>14</v>
      </c>
      <c r="D229" t="s">
        <v>34</v>
      </c>
      <c r="E229">
        <v>7825.62</v>
      </c>
      <c r="F229">
        <v>28</v>
      </c>
      <c r="G229" t="s">
        <v>29</v>
      </c>
      <c r="H229">
        <v>551.83000000000004</v>
      </c>
      <c r="I229">
        <v>569.63</v>
      </c>
      <c r="J229">
        <f>Table2[[#This Row],[Sales_Amount]]-(Table2[[#This Row],[Quantity_Sold]]*Table2[[#This Row],[Unit_Cost]])</f>
        <v>-7625.6200000000017</v>
      </c>
    </row>
    <row r="230" spans="1:10" x14ac:dyDescent="0.3">
      <c r="A230">
        <v>1096</v>
      </c>
      <c r="B230" s="1">
        <v>45140</v>
      </c>
      <c r="C230" t="s">
        <v>14</v>
      </c>
      <c r="D230" t="s">
        <v>15</v>
      </c>
      <c r="E230">
        <v>4815.72</v>
      </c>
      <c r="F230">
        <v>30</v>
      </c>
      <c r="G230" t="s">
        <v>35</v>
      </c>
      <c r="H230">
        <v>3969.86</v>
      </c>
      <c r="I230">
        <v>4281.79</v>
      </c>
      <c r="J230">
        <f>Table2[[#This Row],[Sales_Amount]]-(Table2[[#This Row],[Quantity_Sold]]*Table2[[#This Row],[Unit_Cost]])</f>
        <v>-114280.08</v>
      </c>
    </row>
    <row r="231" spans="1:10" x14ac:dyDescent="0.3">
      <c r="A231">
        <v>1097</v>
      </c>
      <c r="B231" s="1">
        <v>45193</v>
      </c>
      <c r="C231" t="s">
        <v>42</v>
      </c>
      <c r="D231" t="s">
        <v>34</v>
      </c>
      <c r="E231">
        <v>5025.6400000000003</v>
      </c>
      <c r="F231">
        <v>9</v>
      </c>
      <c r="G231" t="s">
        <v>26</v>
      </c>
      <c r="H231">
        <v>4067.28</v>
      </c>
      <c r="I231">
        <v>4548.09</v>
      </c>
      <c r="J231">
        <f>Table2[[#This Row],[Sales_Amount]]-(Table2[[#This Row],[Quantity_Sold]]*Table2[[#This Row],[Unit_Cost]])</f>
        <v>-31579.880000000005</v>
      </c>
    </row>
    <row r="232" spans="1:10" x14ac:dyDescent="0.3">
      <c r="A232">
        <v>1001</v>
      </c>
      <c r="B232" s="1">
        <v>45183</v>
      </c>
      <c r="C232" t="s">
        <v>38</v>
      </c>
      <c r="D232" t="s">
        <v>25</v>
      </c>
      <c r="E232">
        <v>2126.33</v>
      </c>
      <c r="F232">
        <v>39</v>
      </c>
      <c r="G232" t="s">
        <v>26</v>
      </c>
      <c r="H232">
        <v>2437.2600000000002</v>
      </c>
      <c r="I232">
        <v>2889.67</v>
      </c>
      <c r="J232">
        <f>Table2[[#This Row],[Sales_Amount]]-(Table2[[#This Row],[Quantity_Sold]]*Table2[[#This Row],[Unit_Cost]])</f>
        <v>-92926.810000000012</v>
      </c>
    </row>
    <row r="233" spans="1:10" x14ac:dyDescent="0.3">
      <c r="A233">
        <v>1019</v>
      </c>
      <c r="B233" s="1">
        <v>45228</v>
      </c>
      <c r="C233" t="s">
        <v>24</v>
      </c>
      <c r="D233" t="s">
        <v>21</v>
      </c>
      <c r="E233">
        <v>5952.19</v>
      </c>
      <c r="F233">
        <v>31</v>
      </c>
      <c r="G233" t="s">
        <v>26</v>
      </c>
      <c r="H233">
        <v>333.69</v>
      </c>
      <c r="I233">
        <v>685.1</v>
      </c>
      <c r="J233">
        <f>Table2[[#This Row],[Sales_Amount]]-(Table2[[#This Row],[Quantity_Sold]]*Table2[[#This Row],[Unit_Cost]])</f>
        <v>-4392.2</v>
      </c>
    </row>
    <row r="234" spans="1:10" x14ac:dyDescent="0.3">
      <c r="A234">
        <v>1002</v>
      </c>
      <c r="B234" s="1">
        <v>45027</v>
      </c>
      <c r="C234" t="s">
        <v>14</v>
      </c>
      <c r="D234" t="s">
        <v>15</v>
      </c>
      <c r="E234">
        <v>1942.75</v>
      </c>
      <c r="F234">
        <v>21</v>
      </c>
      <c r="G234" t="s">
        <v>26</v>
      </c>
      <c r="H234">
        <v>914.22</v>
      </c>
      <c r="I234">
        <v>971.57</v>
      </c>
      <c r="J234">
        <f>Table2[[#This Row],[Sales_Amount]]-(Table2[[#This Row],[Quantity_Sold]]*Table2[[#This Row],[Unit_Cost]])</f>
        <v>-17255.87</v>
      </c>
    </row>
    <row r="235" spans="1:10" x14ac:dyDescent="0.3">
      <c r="A235">
        <v>1053</v>
      </c>
      <c r="B235" s="1">
        <v>45272</v>
      </c>
      <c r="C235" t="s">
        <v>42</v>
      </c>
      <c r="D235" t="s">
        <v>25</v>
      </c>
      <c r="E235">
        <v>3382.49</v>
      </c>
      <c r="F235">
        <v>47</v>
      </c>
      <c r="G235" t="s">
        <v>35</v>
      </c>
      <c r="H235">
        <v>3551.76</v>
      </c>
      <c r="I235">
        <v>3696.1</v>
      </c>
      <c r="J235">
        <f>Table2[[#This Row],[Sales_Amount]]-(Table2[[#This Row],[Quantity_Sold]]*Table2[[#This Row],[Unit_Cost]])</f>
        <v>-163550.23000000001</v>
      </c>
    </row>
    <row r="236" spans="1:10" x14ac:dyDescent="0.3">
      <c r="A236">
        <v>1044</v>
      </c>
      <c r="B236" s="1">
        <v>45036</v>
      </c>
      <c r="C236" t="s">
        <v>33</v>
      </c>
      <c r="D236" t="s">
        <v>21</v>
      </c>
      <c r="E236">
        <v>8564.7999999999993</v>
      </c>
      <c r="F236">
        <v>34</v>
      </c>
      <c r="G236" t="s">
        <v>26</v>
      </c>
      <c r="H236">
        <v>3573.3</v>
      </c>
      <c r="I236">
        <v>3740.13</v>
      </c>
      <c r="J236">
        <f>Table2[[#This Row],[Sales_Amount]]-(Table2[[#This Row],[Quantity_Sold]]*Table2[[#This Row],[Unit_Cost]])</f>
        <v>-112927.40000000001</v>
      </c>
    </row>
    <row r="237" spans="1:10" x14ac:dyDescent="0.3">
      <c r="A237">
        <v>1090</v>
      </c>
      <c r="B237" s="1">
        <v>45108</v>
      </c>
      <c r="C237" t="s">
        <v>24</v>
      </c>
      <c r="D237" t="s">
        <v>15</v>
      </c>
      <c r="E237">
        <v>2150.0500000000002</v>
      </c>
      <c r="F237">
        <v>31</v>
      </c>
      <c r="G237" t="s">
        <v>16</v>
      </c>
      <c r="H237">
        <v>4496.8599999999997</v>
      </c>
      <c r="I237">
        <v>4880.7999999999902</v>
      </c>
      <c r="J237">
        <f>Table2[[#This Row],[Sales_Amount]]-(Table2[[#This Row],[Quantity_Sold]]*Table2[[#This Row],[Unit_Cost]])</f>
        <v>-137252.61000000002</v>
      </c>
    </row>
    <row r="238" spans="1:10" x14ac:dyDescent="0.3">
      <c r="A238">
        <v>1032</v>
      </c>
      <c r="B238" s="1">
        <v>45239</v>
      </c>
      <c r="C238" t="s">
        <v>14</v>
      </c>
      <c r="D238" t="s">
        <v>34</v>
      </c>
      <c r="E238">
        <v>804.47</v>
      </c>
      <c r="F238">
        <v>25</v>
      </c>
      <c r="G238" t="s">
        <v>35</v>
      </c>
      <c r="H238">
        <v>2934.3</v>
      </c>
      <c r="I238">
        <v>3337.4</v>
      </c>
      <c r="J238">
        <f>Table2[[#This Row],[Sales_Amount]]-(Table2[[#This Row],[Quantity_Sold]]*Table2[[#This Row],[Unit_Cost]])</f>
        <v>-72553.03</v>
      </c>
    </row>
    <row r="239" spans="1:10" x14ac:dyDescent="0.3">
      <c r="A239">
        <v>1070</v>
      </c>
      <c r="B239" s="1">
        <v>44927</v>
      </c>
      <c r="C239" t="s">
        <v>38</v>
      </c>
      <c r="D239" t="s">
        <v>25</v>
      </c>
      <c r="E239">
        <v>783.18</v>
      </c>
      <c r="F239">
        <v>12</v>
      </c>
      <c r="G239" t="s">
        <v>16</v>
      </c>
      <c r="H239">
        <v>664.33</v>
      </c>
      <c r="I239">
        <v>863.03</v>
      </c>
      <c r="J239">
        <f>Table2[[#This Row],[Sales_Amount]]-(Table2[[#This Row],[Quantity_Sold]]*Table2[[#This Row],[Unit_Cost]])</f>
        <v>-7188.7800000000007</v>
      </c>
    </row>
    <row r="240" spans="1:10" x14ac:dyDescent="0.3">
      <c r="A240">
        <v>1032</v>
      </c>
      <c r="B240" s="1">
        <v>45245</v>
      </c>
      <c r="C240" t="s">
        <v>42</v>
      </c>
      <c r="D240" t="s">
        <v>21</v>
      </c>
      <c r="E240">
        <v>9413.77</v>
      </c>
      <c r="F240">
        <v>1</v>
      </c>
      <c r="G240" t="s">
        <v>26</v>
      </c>
      <c r="H240">
        <v>651</v>
      </c>
      <c r="I240">
        <v>865.76</v>
      </c>
      <c r="J240">
        <f>Table2[[#This Row],[Sales_Amount]]-(Table2[[#This Row],[Quantity_Sold]]*Table2[[#This Row],[Unit_Cost]])</f>
        <v>8762.77</v>
      </c>
    </row>
    <row r="241" spans="1:10" x14ac:dyDescent="0.3">
      <c r="A241">
        <v>1068</v>
      </c>
      <c r="B241" s="1">
        <v>44981</v>
      </c>
      <c r="C241" t="s">
        <v>14</v>
      </c>
      <c r="D241" t="s">
        <v>15</v>
      </c>
      <c r="E241">
        <v>5118.51</v>
      </c>
      <c r="F241">
        <v>22</v>
      </c>
      <c r="G241" t="s">
        <v>29</v>
      </c>
      <c r="H241">
        <v>3619.61</v>
      </c>
      <c r="I241">
        <v>3651.42</v>
      </c>
      <c r="J241">
        <f>Table2[[#This Row],[Sales_Amount]]-(Table2[[#This Row],[Quantity_Sold]]*Table2[[#This Row],[Unit_Cost]])</f>
        <v>-74512.91</v>
      </c>
    </row>
    <row r="242" spans="1:10" x14ac:dyDescent="0.3">
      <c r="A242">
        <v>1055</v>
      </c>
      <c r="B242" s="1">
        <v>45075</v>
      </c>
      <c r="C242" t="s">
        <v>38</v>
      </c>
      <c r="D242" t="s">
        <v>15</v>
      </c>
      <c r="E242">
        <v>4153.18</v>
      </c>
      <c r="F242">
        <v>40</v>
      </c>
      <c r="G242" t="s">
        <v>16</v>
      </c>
      <c r="H242">
        <v>959.73</v>
      </c>
      <c r="I242">
        <v>1111.4100000000001</v>
      </c>
      <c r="J242">
        <f>Table2[[#This Row],[Sales_Amount]]-(Table2[[#This Row],[Quantity_Sold]]*Table2[[#This Row],[Unit_Cost]])</f>
        <v>-34236.019999999997</v>
      </c>
    </row>
    <row r="243" spans="1:10" x14ac:dyDescent="0.3">
      <c r="A243">
        <v>1075</v>
      </c>
      <c r="B243" s="1">
        <v>45235</v>
      </c>
      <c r="C243" t="s">
        <v>14</v>
      </c>
      <c r="D243" t="s">
        <v>34</v>
      </c>
      <c r="E243">
        <v>8127.7</v>
      </c>
      <c r="F243">
        <v>37</v>
      </c>
      <c r="G243" t="s">
        <v>26</v>
      </c>
      <c r="H243">
        <v>1675.51</v>
      </c>
      <c r="I243">
        <v>1906.6399999999901</v>
      </c>
      <c r="J243">
        <f>Table2[[#This Row],[Sales_Amount]]-(Table2[[#This Row],[Quantity_Sold]]*Table2[[#This Row],[Unit_Cost]])</f>
        <v>-53866.170000000006</v>
      </c>
    </row>
    <row r="244" spans="1:10" x14ac:dyDescent="0.3">
      <c r="A244">
        <v>1056</v>
      </c>
      <c r="B244" s="1">
        <v>45063</v>
      </c>
      <c r="C244" t="s">
        <v>24</v>
      </c>
      <c r="D244" t="s">
        <v>21</v>
      </c>
      <c r="E244">
        <v>8374.68</v>
      </c>
      <c r="F244">
        <v>47</v>
      </c>
      <c r="G244" t="s">
        <v>16</v>
      </c>
      <c r="H244">
        <v>2461.6999999999998</v>
      </c>
      <c r="I244">
        <v>2529.02</v>
      </c>
      <c r="J244">
        <f>Table2[[#This Row],[Sales_Amount]]-(Table2[[#This Row],[Quantity_Sold]]*Table2[[#This Row],[Unit_Cost]])</f>
        <v>-107325.22</v>
      </c>
    </row>
    <row r="245" spans="1:10" x14ac:dyDescent="0.3">
      <c r="A245">
        <v>1017</v>
      </c>
      <c r="B245" s="1">
        <v>45128</v>
      </c>
      <c r="C245" t="s">
        <v>24</v>
      </c>
      <c r="D245" t="s">
        <v>34</v>
      </c>
      <c r="E245">
        <v>3388.69</v>
      </c>
      <c r="F245">
        <v>1</v>
      </c>
      <c r="G245" t="s">
        <v>26</v>
      </c>
      <c r="H245">
        <v>172.59</v>
      </c>
      <c r="I245">
        <v>404.69</v>
      </c>
      <c r="J245">
        <f>Table2[[#This Row],[Sales_Amount]]-(Table2[[#This Row],[Quantity_Sold]]*Table2[[#This Row],[Unit_Cost]])</f>
        <v>3216.1</v>
      </c>
    </row>
    <row r="246" spans="1:10" x14ac:dyDescent="0.3">
      <c r="A246">
        <v>1038</v>
      </c>
      <c r="B246" s="1">
        <v>45239</v>
      </c>
      <c r="C246" t="s">
        <v>24</v>
      </c>
      <c r="D246" t="s">
        <v>34</v>
      </c>
      <c r="E246">
        <v>6966.82</v>
      </c>
      <c r="F246">
        <v>1</v>
      </c>
      <c r="G246" t="s">
        <v>26</v>
      </c>
      <c r="H246">
        <v>1281.6500000000001</v>
      </c>
      <c r="I246">
        <v>1709.71</v>
      </c>
      <c r="J246">
        <f>Table2[[#This Row],[Sales_Amount]]-(Table2[[#This Row],[Quantity_Sold]]*Table2[[#This Row],[Unit_Cost]])</f>
        <v>5685.17</v>
      </c>
    </row>
    <row r="247" spans="1:10" x14ac:dyDescent="0.3">
      <c r="A247">
        <v>1024</v>
      </c>
      <c r="B247" s="1">
        <v>45043</v>
      </c>
      <c r="C247" t="s">
        <v>42</v>
      </c>
      <c r="D247" t="s">
        <v>21</v>
      </c>
      <c r="E247">
        <v>7734.12</v>
      </c>
      <c r="F247">
        <v>42</v>
      </c>
      <c r="G247" t="s">
        <v>26</v>
      </c>
      <c r="H247">
        <v>2069.0500000000002</v>
      </c>
      <c r="I247">
        <v>2363.9</v>
      </c>
      <c r="J247">
        <f>Table2[[#This Row],[Sales_Amount]]-(Table2[[#This Row],[Quantity_Sold]]*Table2[[#This Row],[Unit_Cost]])</f>
        <v>-79165.98000000001</v>
      </c>
    </row>
    <row r="248" spans="1:10" x14ac:dyDescent="0.3">
      <c r="A248">
        <v>1069</v>
      </c>
      <c r="B248" s="1">
        <v>45080</v>
      </c>
      <c r="C248" t="s">
        <v>24</v>
      </c>
      <c r="D248" t="s">
        <v>21</v>
      </c>
      <c r="E248">
        <v>6581.04</v>
      </c>
      <c r="F248">
        <v>42</v>
      </c>
      <c r="G248" t="s">
        <v>29</v>
      </c>
      <c r="H248">
        <v>1434.2</v>
      </c>
      <c r="I248">
        <v>1482.88</v>
      </c>
      <c r="J248">
        <f>Table2[[#This Row],[Sales_Amount]]-(Table2[[#This Row],[Quantity_Sold]]*Table2[[#This Row],[Unit_Cost]])</f>
        <v>-53655.360000000001</v>
      </c>
    </row>
    <row r="249" spans="1:10" x14ac:dyDescent="0.3">
      <c r="A249">
        <v>1098</v>
      </c>
      <c r="B249" s="1">
        <v>45217</v>
      </c>
      <c r="C249" t="s">
        <v>38</v>
      </c>
      <c r="D249" t="s">
        <v>21</v>
      </c>
      <c r="E249">
        <v>1600.79</v>
      </c>
      <c r="F249">
        <v>21</v>
      </c>
      <c r="G249" t="s">
        <v>16</v>
      </c>
      <c r="H249">
        <v>725.03</v>
      </c>
      <c r="I249">
        <v>828.94999999999902</v>
      </c>
      <c r="J249">
        <f>Table2[[#This Row],[Sales_Amount]]-(Table2[[#This Row],[Quantity_Sold]]*Table2[[#This Row],[Unit_Cost]])</f>
        <v>-13624.84</v>
      </c>
    </row>
    <row r="250" spans="1:10" x14ac:dyDescent="0.3">
      <c r="A250">
        <v>1070</v>
      </c>
      <c r="B250" s="1">
        <v>44989</v>
      </c>
      <c r="C250" t="s">
        <v>14</v>
      </c>
      <c r="D250" t="s">
        <v>25</v>
      </c>
      <c r="E250">
        <v>8771.24</v>
      </c>
      <c r="F250">
        <v>15</v>
      </c>
      <c r="G250" t="s">
        <v>35</v>
      </c>
      <c r="H250">
        <v>3653.66</v>
      </c>
      <c r="I250">
        <v>3896.19</v>
      </c>
      <c r="J250">
        <f>Table2[[#This Row],[Sales_Amount]]-(Table2[[#This Row],[Quantity_Sold]]*Table2[[#This Row],[Unit_Cost]])</f>
        <v>-46033.659999999996</v>
      </c>
    </row>
    <row r="251" spans="1:10" x14ac:dyDescent="0.3">
      <c r="A251">
        <v>1086</v>
      </c>
      <c r="B251" s="1">
        <v>45170</v>
      </c>
      <c r="C251" t="s">
        <v>33</v>
      </c>
      <c r="D251" t="s">
        <v>21</v>
      </c>
      <c r="E251">
        <v>5437.04</v>
      </c>
      <c r="F251">
        <v>17</v>
      </c>
      <c r="G251" t="s">
        <v>35</v>
      </c>
      <c r="H251">
        <v>4075.08</v>
      </c>
      <c r="I251">
        <v>4262.21</v>
      </c>
      <c r="J251">
        <f>Table2[[#This Row],[Sales_Amount]]-(Table2[[#This Row],[Quantity_Sold]]*Table2[[#This Row],[Unit_Cost]])</f>
        <v>-63839.32</v>
      </c>
    </row>
    <row r="252" spans="1:10" x14ac:dyDescent="0.3">
      <c r="A252">
        <v>1011</v>
      </c>
      <c r="B252" s="1">
        <v>44951</v>
      </c>
      <c r="C252" t="s">
        <v>38</v>
      </c>
      <c r="D252" t="s">
        <v>15</v>
      </c>
      <c r="E252">
        <v>2896.48</v>
      </c>
      <c r="F252">
        <v>22</v>
      </c>
      <c r="G252" t="s">
        <v>35</v>
      </c>
      <c r="H252">
        <v>1324.52</v>
      </c>
      <c r="I252">
        <v>1510.3</v>
      </c>
      <c r="J252">
        <f>Table2[[#This Row],[Sales_Amount]]-(Table2[[#This Row],[Quantity_Sold]]*Table2[[#This Row],[Unit_Cost]])</f>
        <v>-26242.959999999999</v>
      </c>
    </row>
    <row r="253" spans="1:10" x14ac:dyDescent="0.3">
      <c r="A253">
        <v>1016</v>
      </c>
      <c r="B253" s="1">
        <v>45016</v>
      </c>
      <c r="C253" t="s">
        <v>38</v>
      </c>
      <c r="D253" t="s">
        <v>34</v>
      </c>
      <c r="E253">
        <v>4309.76</v>
      </c>
      <c r="F253">
        <v>38</v>
      </c>
      <c r="G253" t="s">
        <v>35</v>
      </c>
      <c r="H253">
        <v>3883.38</v>
      </c>
      <c r="I253">
        <v>4152.72</v>
      </c>
      <c r="J253">
        <f>Table2[[#This Row],[Sales_Amount]]-(Table2[[#This Row],[Quantity_Sold]]*Table2[[#This Row],[Unit_Cost]])</f>
        <v>-143258.68</v>
      </c>
    </row>
    <row r="254" spans="1:10" x14ac:dyDescent="0.3">
      <c r="A254">
        <v>1097</v>
      </c>
      <c r="B254" s="1">
        <v>45001</v>
      </c>
      <c r="C254" t="s">
        <v>24</v>
      </c>
      <c r="D254" t="s">
        <v>25</v>
      </c>
      <c r="E254">
        <v>471.95</v>
      </c>
      <c r="F254">
        <v>35</v>
      </c>
      <c r="G254" t="s">
        <v>26</v>
      </c>
      <c r="H254">
        <v>1958.49</v>
      </c>
      <c r="I254">
        <v>2254.84</v>
      </c>
      <c r="J254">
        <f>Table2[[#This Row],[Sales_Amount]]-(Table2[[#This Row],[Quantity_Sold]]*Table2[[#This Row],[Unit_Cost]])</f>
        <v>-68075.199999999997</v>
      </c>
    </row>
    <row r="255" spans="1:10" x14ac:dyDescent="0.3">
      <c r="A255">
        <v>1073</v>
      </c>
      <c r="B255" s="1">
        <v>45220</v>
      </c>
      <c r="C255" t="s">
        <v>42</v>
      </c>
      <c r="D255" t="s">
        <v>21</v>
      </c>
      <c r="E255">
        <v>1365.88</v>
      </c>
      <c r="F255">
        <v>45</v>
      </c>
      <c r="G255" t="s">
        <v>16</v>
      </c>
      <c r="H255">
        <v>2558.09</v>
      </c>
      <c r="I255">
        <v>2958.55</v>
      </c>
      <c r="J255">
        <f>Table2[[#This Row],[Sales_Amount]]-(Table2[[#This Row],[Quantity_Sold]]*Table2[[#This Row],[Unit_Cost]])</f>
        <v>-113748.17</v>
      </c>
    </row>
    <row r="256" spans="1:10" x14ac:dyDescent="0.3">
      <c r="A256">
        <v>1059</v>
      </c>
      <c r="B256" s="1">
        <v>45136</v>
      </c>
      <c r="C256" t="s">
        <v>14</v>
      </c>
      <c r="D256" t="s">
        <v>25</v>
      </c>
      <c r="E256">
        <v>7678.91</v>
      </c>
      <c r="F256">
        <v>16</v>
      </c>
      <c r="G256" t="s">
        <v>16</v>
      </c>
      <c r="H256">
        <v>4287.21</v>
      </c>
      <c r="I256">
        <v>4464.28</v>
      </c>
      <c r="J256">
        <f>Table2[[#This Row],[Sales_Amount]]-(Table2[[#This Row],[Quantity_Sold]]*Table2[[#This Row],[Unit_Cost]])</f>
        <v>-60916.45</v>
      </c>
    </row>
    <row r="257" spans="1:10" x14ac:dyDescent="0.3">
      <c r="A257">
        <v>1070</v>
      </c>
      <c r="B257" s="1">
        <v>45273</v>
      </c>
      <c r="C257" t="s">
        <v>42</v>
      </c>
      <c r="D257" t="s">
        <v>21</v>
      </c>
      <c r="E257">
        <v>100.12</v>
      </c>
      <c r="F257">
        <v>8</v>
      </c>
      <c r="G257" t="s">
        <v>29</v>
      </c>
      <c r="H257">
        <v>3762.27</v>
      </c>
      <c r="I257">
        <v>4166.95</v>
      </c>
      <c r="J257">
        <f>Table2[[#This Row],[Sales_Amount]]-(Table2[[#This Row],[Quantity_Sold]]*Table2[[#This Row],[Unit_Cost]])</f>
        <v>-29998.04</v>
      </c>
    </row>
    <row r="258" spans="1:10" x14ac:dyDescent="0.3">
      <c r="A258">
        <v>1080</v>
      </c>
      <c r="B258" s="1">
        <v>44943</v>
      </c>
      <c r="C258" t="s">
        <v>14</v>
      </c>
      <c r="D258" t="s">
        <v>25</v>
      </c>
      <c r="E258">
        <v>4224</v>
      </c>
      <c r="F258">
        <v>47</v>
      </c>
      <c r="G258" t="s">
        <v>16</v>
      </c>
      <c r="H258">
        <v>4035.33</v>
      </c>
      <c r="I258">
        <v>4211.25</v>
      </c>
      <c r="J258">
        <f>Table2[[#This Row],[Sales_Amount]]-(Table2[[#This Row],[Quantity_Sold]]*Table2[[#This Row],[Unit_Cost]])</f>
        <v>-185436.51</v>
      </c>
    </row>
    <row r="259" spans="1:10" x14ac:dyDescent="0.3">
      <c r="A259">
        <v>1093</v>
      </c>
      <c r="B259" s="1">
        <v>45054</v>
      </c>
      <c r="C259" t="s">
        <v>14</v>
      </c>
      <c r="D259" t="s">
        <v>34</v>
      </c>
      <c r="E259">
        <v>5272.85</v>
      </c>
      <c r="F259">
        <v>17</v>
      </c>
      <c r="G259" t="s">
        <v>16</v>
      </c>
      <c r="H259">
        <v>727.38</v>
      </c>
      <c r="I259">
        <v>764.54</v>
      </c>
      <c r="J259">
        <f>Table2[[#This Row],[Sales_Amount]]-(Table2[[#This Row],[Quantity_Sold]]*Table2[[#This Row],[Unit_Cost]])</f>
        <v>-7092.6099999999988</v>
      </c>
    </row>
    <row r="260" spans="1:10" x14ac:dyDescent="0.3">
      <c r="A260">
        <v>1003</v>
      </c>
      <c r="B260" s="1">
        <v>45290</v>
      </c>
      <c r="C260" t="s">
        <v>42</v>
      </c>
      <c r="D260" t="s">
        <v>34</v>
      </c>
      <c r="E260">
        <v>640.88</v>
      </c>
      <c r="F260">
        <v>17</v>
      </c>
      <c r="G260" t="s">
        <v>16</v>
      </c>
      <c r="H260">
        <v>395.11</v>
      </c>
      <c r="I260">
        <v>676.66</v>
      </c>
      <c r="J260">
        <f>Table2[[#This Row],[Sales_Amount]]-(Table2[[#This Row],[Quantity_Sold]]*Table2[[#This Row],[Unit_Cost]])</f>
        <v>-6075.99</v>
      </c>
    </row>
    <row r="261" spans="1:10" x14ac:dyDescent="0.3">
      <c r="A261">
        <v>1020</v>
      </c>
      <c r="B261" s="1">
        <v>45177</v>
      </c>
      <c r="C261" t="s">
        <v>38</v>
      </c>
      <c r="D261" t="s">
        <v>15</v>
      </c>
      <c r="E261">
        <v>9733.4699999999993</v>
      </c>
      <c r="F261">
        <v>26</v>
      </c>
      <c r="G261" t="s">
        <v>29</v>
      </c>
      <c r="H261">
        <v>4472.3500000000004</v>
      </c>
      <c r="I261">
        <v>4770.42</v>
      </c>
      <c r="J261">
        <f>Table2[[#This Row],[Sales_Amount]]-(Table2[[#This Row],[Quantity_Sold]]*Table2[[#This Row],[Unit_Cost]])</f>
        <v>-106547.63</v>
      </c>
    </row>
    <row r="262" spans="1:10" x14ac:dyDescent="0.3">
      <c r="A262">
        <v>1059</v>
      </c>
      <c r="B262" s="1">
        <v>45105</v>
      </c>
      <c r="C262" t="s">
        <v>14</v>
      </c>
      <c r="D262" t="s">
        <v>15</v>
      </c>
      <c r="E262">
        <v>2338.64</v>
      </c>
      <c r="F262">
        <v>13</v>
      </c>
      <c r="G262" t="s">
        <v>35</v>
      </c>
      <c r="H262">
        <v>1969.78</v>
      </c>
      <c r="I262">
        <v>2437.6999999999998</v>
      </c>
      <c r="J262">
        <f>Table2[[#This Row],[Sales_Amount]]-(Table2[[#This Row],[Quantity_Sold]]*Table2[[#This Row],[Unit_Cost]])</f>
        <v>-23268.5</v>
      </c>
    </row>
    <row r="263" spans="1:10" x14ac:dyDescent="0.3">
      <c r="A263">
        <v>1036</v>
      </c>
      <c r="B263" s="1">
        <v>45108</v>
      </c>
      <c r="C263" t="s">
        <v>42</v>
      </c>
      <c r="D263" t="s">
        <v>21</v>
      </c>
      <c r="E263">
        <v>3111.57</v>
      </c>
      <c r="F263">
        <v>17</v>
      </c>
      <c r="G263" t="s">
        <v>16</v>
      </c>
      <c r="H263">
        <v>1475</v>
      </c>
      <c r="I263">
        <v>1840.77</v>
      </c>
      <c r="J263">
        <f>Table2[[#This Row],[Sales_Amount]]-(Table2[[#This Row],[Quantity_Sold]]*Table2[[#This Row],[Unit_Cost]])</f>
        <v>-21963.43</v>
      </c>
    </row>
    <row r="264" spans="1:10" x14ac:dyDescent="0.3">
      <c r="A264">
        <v>1019</v>
      </c>
      <c r="B264" s="1">
        <v>45078</v>
      </c>
      <c r="C264" t="s">
        <v>14</v>
      </c>
      <c r="D264" t="s">
        <v>34</v>
      </c>
      <c r="E264">
        <v>3109.03</v>
      </c>
      <c r="F264">
        <v>38</v>
      </c>
      <c r="G264" t="s">
        <v>29</v>
      </c>
      <c r="H264">
        <v>3637.25</v>
      </c>
      <c r="I264">
        <v>4096.96</v>
      </c>
      <c r="J264">
        <f>Table2[[#This Row],[Sales_Amount]]-(Table2[[#This Row],[Quantity_Sold]]*Table2[[#This Row],[Unit_Cost]])</f>
        <v>-135106.47</v>
      </c>
    </row>
    <row r="265" spans="1:10" x14ac:dyDescent="0.3">
      <c r="A265">
        <v>1090</v>
      </c>
      <c r="B265" s="1">
        <v>44951</v>
      </c>
      <c r="C265" t="s">
        <v>33</v>
      </c>
      <c r="D265" t="s">
        <v>25</v>
      </c>
      <c r="E265">
        <v>2381.12</v>
      </c>
      <c r="F265">
        <v>17</v>
      </c>
      <c r="G265" t="s">
        <v>29</v>
      </c>
      <c r="H265">
        <v>4190.26</v>
      </c>
      <c r="I265">
        <v>4645.3500000000004</v>
      </c>
      <c r="J265">
        <f>Table2[[#This Row],[Sales_Amount]]-(Table2[[#This Row],[Quantity_Sold]]*Table2[[#This Row],[Unit_Cost]])</f>
        <v>-68853.3</v>
      </c>
    </row>
    <row r="266" spans="1:10" x14ac:dyDescent="0.3">
      <c r="A266">
        <v>1067</v>
      </c>
      <c r="B266" s="1">
        <v>45106</v>
      </c>
      <c r="C266" t="s">
        <v>38</v>
      </c>
      <c r="D266" t="s">
        <v>25</v>
      </c>
      <c r="E266">
        <v>114.59</v>
      </c>
      <c r="F266">
        <v>48</v>
      </c>
      <c r="G266" t="s">
        <v>26</v>
      </c>
      <c r="H266">
        <v>4319.32</v>
      </c>
      <c r="I266">
        <v>4625.5599999999904</v>
      </c>
      <c r="J266">
        <f>Table2[[#This Row],[Sales_Amount]]-(Table2[[#This Row],[Quantity_Sold]]*Table2[[#This Row],[Unit_Cost]])</f>
        <v>-207212.77</v>
      </c>
    </row>
    <row r="267" spans="1:10" x14ac:dyDescent="0.3">
      <c r="A267">
        <v>1019</v>
      </c>
      <c r="B267" s="1">
        <v>45124</v>
      </c>
      <c r="C267" t="s">
        <v>24</v>
      </c>
      <c r="D267" t="s">
        <v>25</v>
      </c>
      <c r="E267">
        <v>7320.51</v>
      </c>
      <c r="F267">
        <v>14</v>
      </c>
      <c r="G267" t="s">
        <v>29</v>
      </c>
      <c r="H267">
        <v>1614.19</v>
      </c>
      <c r="I267">
        <v>1882.79</v>
      </c>
      <c r="J267">
        <f>Table2[[#This Row],[Sales_Amount]]-(Table2[[#This Row],[Quantity_Sold]]*Table2[[#This Row],[Unit_Cost]])</f>
        <v>-15278.15</v>
      </c>
    </row>
    <row r="268" spans="1:10" x14ac:dyDescent="0.3">
      <c r="A268">
        <v>1020</v>
      </c>
      <c r="B268" s="1">
        <v>45270</v>
      </c>
      <c r="C268" t="s">
        <v>14</v>
      </c>
      <c r="D268" t="s">
        <v>15</v>
      </c>
      <c r="E268">
        <v>9671.77</v>
      </c>
      <c r="F268">
        <v>45</v>
      </c>
      <c r="G268" t="s">
        <v>35</v>
      </c>
      <c r="H268">
        <v>4268.45</v>
      </c>
      <c r="I268">
        <v>4551.5999999999904</v>
      </c>
      <c r="J268">
        <f>Table2[[#This Row],[Sales_Amount]]-(Table2[[#This Row],[Quantity_Sold]]*Table2[[#This Row],[Unit_Cost]])</f>
        <v>-182408.48</v>
      </c>
    </row>
    <row r="269" spans="1:10" x14ac:dyDescent="0.3">
      <c r="A269">
        <v>1096</v>
      </c>
      <c r="B269" s="1">
        <v>45087</v>
      </c>
      <c r="C269" t="s">
        <v>33</v>
      </c>
      <c r="D269" t="s">
        <v>25</v>
      </c>
      <c r="E269">
        <v>2320.5100000000002</v>
      </c>
      <c r="F269">
        <v>6</v>
      </c>
      <c r="G269" t="s">
        <v>16</v>
      </c>
      <c r="H269">
        <v>252.62</v>
      </c>
      <c r="I269">
        <v>742</v>
      </c>
      <c r="J269">
        <f>Table2[[#This Row],[Sales_Amount]]-(Table2[[#This Row],[Quantity_Sold]]*Table2[[#This Row],[Unit_Cost]])</f>
        <v>804.79000000000019</v>
      </c>
    </row>
    <row r="270" spans="1:10" x14ac:dyDescent="0.3">
      <c r="A270">
        <v>1071</v>
      </c>
      <c r="B270" s="1">
        <v>45103</v>
      </c>
      <c r="C270" t="s">
        <v>24</v>
      </c>
      <c r="D270" t="s">
        <v>15</v>
      </c>
      <c r="E270">
        <v>6664.17</v>
      </c>
      <c r="F270">
        <v>35</v>
      </c>
      <c r="G270" t="s">
        <v>29</v>
      </c>
      <c r="H270">
        <v>295.82</v>
      </c>
      <c r="I270">
        <v>684.67</v>
      </c>
      <c r="J270">
        <f>Table2[[#This Row],[Sales_Amount]]-(Table2[[#This Row],[Quantity_Sold]]*Table2[[#This Row],[Unit_Cost]])</f>
        <v>-3689.5299999999988</v>
      </c>
    </row>
    <row r="271" spans="1:10" x14ac:dyDescent="0.3">
      <c r="A271">
        <v>1052</v>
      </c>
      <c r="B271" s="1">
        <v>45211</v>
      </c>
      <c r="C271" t="s">
        <v>24</v>
      </c>
      <c r="D271" t="s">
        <v>15</v>
      </c>
      <c r="E271">
        <v>7444.77</v>
      </c>
      <c r="F271">
        <v>46</v>
      </c>
      <c r="G271" t="s">
        <v>35</v>
      </c>
      <c r="H271">
        <v>3136.42</v>
      </c>
      <c r="I271">
        <v>3198.49</v>
      </c>
      <c r="J271">
        <f>Table2[[#This Row],[Sales_Amount]]-(Table2[[#This Row],[Quantity_Sold]]*Table2[[#This Row],[Unit_Cost]])</f>
        <v>-136830.55000000002</v>
      </c>
    </row>
    <row r="272" spans="1:10" x14ac:dyDescent="0.3">
      <c r="A272">
        <v>1033</v>
      </c>
      <c r="B272" s="1">
        <v>44989</v>
      </c>
      <c r="C272" t="s">
        <v>14</v>
      </c>
      <c r="D272" t="s">
        <v>21</v>
      </c>
      <c r="E272">
        <v>8499.41</v>
      </c>
      <c r="F272">
        <v>14</v>
      </c>
      <c r="G272" t="s">
        <v>29</v>
      </c>
      <c r="H272">
        <v>362.38</v>
      </c>
      <c r="I272">
        <v>753.81</v>
      </c>
      <c r="J272">
        <f>Table2[[#This Row],[Sales_Amount]]-(Table2[[#This Row],[Quantity_Sold]]*Table2[[#This Row],[Unit_Cost]])</f>
        <v>3426.09</v>
      </c>
    </row>
    <row r="273" spans="1:10" x14ac:dyDescent="0.3">
      <c r="A273">
        <v>1040</v>
      </c>
      <c r="B273" s="1">
        <v>45076</v>
      </c>
      <c r="C273" t="s">
        <v>42</v>
      </c>
      <c r="D273" t="s">
        <v>25</v>
      </c>
      <c r="E273">
        <v>4284.03</v>
      </c>
      <c r="F273">
        <v>47</v>
      </c>
      <c r="G273" t="s">
        <v>29</v>
      </c>
      <c r="H273">
        <v>1656.82</v>
      </c>
      <c r="I273">
        <v>1750.3799999999901</v>
      </c>
      <c r="J273">
        <f>Table2[[#This Row],[Sales_Amount]]-(Table2[[#This Row],[Quantity_Sold]]*Table2[[#This Row],[Unit_Cost]])</f>
        <v>-73586.509999999995</v>
      </c>
    </row>
    <row r="274" spans="1:10" x14ac:dyDescent="0.3">
      <c r="A274">
        <v>1039</v>
      </c>
      <c r="B274" s="1">
        <v>45080</v>
      </c>
      <c r="C274" t="s">
        <v>14</v>
      </c>
      <c r="D274" t="s">
        <v>25</v>
      </c>
      <c r="E274">
        <v>3099.02</v>
      </c>
      <c r="F274">
        <v>8</v>
      </c>
      <c r="G274" t="s">
        <v>29</v>
      </c>
      <c r="H274">
        <v>3380.14</v>
      </c>
      <c r="I274">
        <v>3609.3399999999901</v>
      </c>
      <c r="J274">
        <f>Table2[[#This Row],[Sales_Amount]]-(Table2[[#This Row],[Quantity_Sold]]*Table2[[#This Row],[Unit_Cost]])</f>
        <v>-23942.1</v>
      </c>
    </row>
    <row r="275" spans="1:10" x14ac:dyDescent="0.3">
      <c r="A275">
        <v>1082</v>
      </c>
      <c r="B275" s="1">
        <v>45082</v>
      </c>
      <c r="C275" t="s">
        <v>33</v>
      </c>
      <c r="D275" t="s">
        <v>34</v>
      </c>
      <c r="E275">
        <v>3320.42</v>
      </c>
      <c r="F275">
        <v>15</v>
      </c>
      <c r="G275" t="s">
        <v>29</v>
      </c>
      <c r="H275">
        <v>1719.47</v>
      </c>
      <c r="I275">
        <v>1832.6</v>
      </c>
      <c r="J275">
        <f>Table2[[#This Row],[Sales_Amount]]-(Table2[[#This Row],[Quantity_Sold]]*Table2[[#This Row],[Unit_Cost]])</f>
        <v>-22471.629999999997</v>
      </c>
    </row>
    <row r="276" spans="1:10" x14ac:dyDescent="0.3">
      <c r="A276">
        <v>1001</v>
      </c>
      <c r="B276" s="1">
        <v>44975</v>
      </c>
      <c r="C276" t="s">
        <v>24</v>
      </c>
      <c r="D276" t="s">
        <v>21</v>
      </c>
      <c r="E276">
        <v>7154.95</v>
      </c>
      <c r="F276">
        <v>27</v>
      </c>
      <c r="G276" t="s">
        <v>29</v>
      </c>
      <c r="H276">
        <v>939.02</v>
      </c>
      <c r="I276">
        <v>1286.92</v>
      </c>
      <c r="J276">
        <f>Table2[[#This Row],[Sales_Amount]]-(Table2[[#This Row],[Quantity_Sold]]*Table2[[#This Row],[Unit_Cost]])</f>
        <v>-18198.59</v>
      </c>
    </row>
    <row r="277" spans="1:10" x14ac:dyDescent="0.3">
      <c r="A277">
        <v>1011</v>
      </c>
      <c r="B277" s="1">
        <v>45263</v>
      </c>
      <c r="C277" t="s">
        <v>14</v>
      </c>
      <c r="D277" t="s">
        <v>34</v>
      </c>
      <c r="E277">
        <v>8186.12</v>
      </c>
      <c r="F277">
        <v>13</v>
      </c>
      <c r="G277" t="s">
        <v>35</v>
      </c>
      <c r="H277">
        <v>1442.69</v>
      </c>
      <c r="I277">
        <v>1882.57</v>
      </c>
      <c r="J277">
        <f>Table2[[#This Row],[Sales_Amount]]-(Table2[[#This Row],[Quantity_Sold]]*Table2[[#This Row],[Unit_Cost]])</f>
        <v>-10568.850000000002</v>
      </c>
    </row>
    <row r="278" spans="1:10" x14ac:dyDescent="0.3">
      <c r="A278">
        <v>1092</v>
      </c>
      <c r="B278" s="1">
        <v>45010</v>
      </c>
      <c r="C278" t="s">
        <v>42</v>
      </c>
      <c r="D278" t="s">
        <v>21</v>
      </c>
      <c r="E278">
        <v>1897.98</v>
      </c>
      <c r="F278">
        <v>49</v>
      </c>
      <c r="G278" t="s">
        <v>16</v>
      </c>
      <c r="H278">
        <v>2315</v>
      </c>
      <c r="I278">
        <v>2467.2800000000002</v>
      </c>
      <c r="J278">
        <f>Table2[[#This Row],[Sales_Amount]]-(Table2[[#This Row],[Quantity_Sold]]*Table2[[#This Row],[Unit_Cost]])</f>
        <v>-111537.02</v>
      </c>
    </row>
    <row r="279" spans="1:10" x14ac:dyDescent="0.3">
      <c r="A279">
        <v>1057</v>
      </c>
      <c r="B279" s="1">
        <v>45287</v>
      </c>
      <c r="C279" t="s">
        <v>14</v>
      </c>
      <c r="D279" t="s">
        <v>25</v>
      </c>
      <c r="E279">
        <v>3772.32</v>
      </c>
      <c r="F279">
        <v>31</v>
      </c>
      <c r="G279" t="s">
        <v>16</v>
      </c>
      <c r="H279">
        <v>2403.16</v>
      </c>
      <c r="I279">
        <v>2453.35</v>
      </c>
      <c r="J279">
        <f>Table2[[#This Row],[Sales_Amount]]-(Table2[[#This Row],[Quantity_Sold]]*Table2[[#This Row],[Unit_Cost]])</f>
        <v>-70725.639999999985</v>
      </c>
    </row>
    <row r="280" spans="1:10" x14ac:dyDescent="0.3">
      <c r="A280">
        <v>1089</v>
      </c>
      <c r="B280" s="1">
        <v>45103</v>
      </c>
      <c r="C280" t="s">
        <v>38</v>
      </c>
      <c r="D280" t="s">
        <v>15</v>
      </c>
      <c r="E280">
        <v>9029.2099999999991</v>
      </c>
      <c r="F280">
        <v>35</v>
      </c>
      <c r="G280" t="s">
        <v>16</v>
      </c>
      <c r="H280">
        <v>3925.85</v>
      </c>
      <c r="I280">
        <v>4082.1099999999901</v>
      </c>
      <c r="J280">
        <f>Table2[[#This Row],[Sales_Amount]]-(Table2[[#This Row],[Quantity_Sold]]*Table2[[#This Row],[Unit_Cost]])</f>
        <v>-128375.54000000001</v>
      </c>
    </row>
    <row r="281" spans="1:10" x14ac:dyDescent="0.3">
      <c r="A281">
        <v>1050</v>
      </c>
      <c r="B281" s="1">
        <v>45074</v>
      </c>
      <c r="C281" t="s">
        <v>42</v>
      </c>
      <c r="D281" t="s">
        <v>15</v>
      </c>
      <c r="E281">
        <v>8086.27</v>
      </c>
      <c r="F281">
        <v>6</v>
      </c>
      <c r="G281" t="s">
        <v>16</v>
      </c>
      <c r="H281">
        <v>3763.26</v>
      </c>
      <c r="I281">
        <v>4102.72</v>
      </c>
      <c r="J281">
        <f>Table2[[#This Row],[Sales_Amount]]-(Table2[[#This Row],[Quantity_Sold]]*Table2[[#This Row],[Unit_Cost]])</f>
        <v>-14493.29</v>
      </c>
    </row>
    <row r="282" spans="1:10" x14ac:dyDescent="0.3">
      <c r="A282">
        <v>1023</v>
      </c>
      <c r="B282" s="1">
        <v>45044</v>
      </c>
      <c r="C282" t="s">
        <v>33</v>
      </c>
      <c r="D282" t="s">
        <v>15</v>
      </c>
      <c r="E282">
        <v>9850.1</v>
      </c>
      <c r="F282">
        <v>5</v>
      </c>
      <c r="G282" t="s">
        <v>35</v>
      </c>
      <c r="H282">
        <v>2311.25</v>
      </c>
      <c r="I282">
        <v>2482.34</v>
      </c>
      <c r="J282">
        <f>Table2[[#This Row],[Sales_Amount]]-(Table2[[#This Row],[Quantity_Sold]]*Table2[[#This Row],[Unit_Cost]])</f>
        <v>-1706.1499999999996</v>
      </c>
    </row>
    <row r="283" spans="1:10" x14ac:dyDescent="0.3">
      <c r="A283">
        <v>1031</v>
      </c>
      <c r="B283" s="1">
        <v>45268</v>
      </c>
      <c r="C283" t="s">
        <v>24</v>
      </c>
      <c r="D283" t="s">
        <v>15</v>
      </c>
      <c r="E283">
        <v>7567.06</v>
      </c>
      <c r="F283">
        <v>22</v>
      </c>
      <c r="G283" t="s">
        <v>26</v>
      </c>
      <c r="H283">
        <v>4236.05</v>
      </c>
      <c r="I283">
        <v>4382.32</v>
      </c>
      <c r="J283">
        <f>Table2[[#This Row],[Sales_Amount]]-(Table2[[#This Row],[Quantity_Sold]]*Table2[[#This Row],[Unit_Cost]])</f>
        <v>-85626.040000000008</v>
      </c>
    </row>
    <row r="284" spans="1:10" x14ac:dyDescent="0.3">
      <c r="A284">
        <v>1094</v>
      </c>
      <c r="B284" s="1">
        <v>44989</v>
      </c>
      <c r="C284" t="s">
        <v>14</v>
      </c>
      <c r="D284" t="s">
        <v>15</v>
      </c>
      <c r="E284">
        <v>3992.63</v>
      </c>
      <c r="F284">
        <v>49</v>
      </c>
      <c r="G284" t="s">
        <v>26</v>
      </c>
      <c r="H284">
        <v>615.47</v>
      </c>
      <c r="I284">
        <v>715.84</v>
      </c>
      <c r="J284">
        <f>Table2[[#This Row],[Sales_Amount]]-(Table2[[#This Row],[Quantity_Sold]]*Table2[[#This Row],[Unit_Cost]])</f>
        <v>-26165.4</v>
      </c>
    </row>
    <row r="285" spans="1:10" x14ac:dyDescent="0.3">
      <c r="A285">
        <v>1042</v>
      </c>
      <c r="B285" s="1">
        <v>45115</v>
      </c>
      <c r="C285" t="s">
        <v>42</v>
      </c>
      <c r="D285" t="s">
        <v>34</v>
      </c>
      <c r="E285">
        <v>5947.31</v>
      </c>
      <c r="F285">
        <v>23</v>
      </c>
      <c r="G285" t="s">
        <v>35</v>
      </c>
      <c r="H285">
        <v>1314</v>
      </c>
      <c r="I285">
        <v>1567.78</v>
      </c>
      <c r="J285">
        <f>Table2[[#This Row],[Sales_Amount]]-(Table2[[#This Row],[Quantity_Sold]]*Table2[[#This Row],[Unit_Cost]])</f>
        <v>-24274.69</v>
      </c>
    </row>
    <row r="286" spans="1:10" x14ac:dyDescent="0.3">
      <c r="A286">
        <v>1099</v>
      </c>
      <c r="B286" s="1">
        <v>45286</v>
      </c>
      <c r="C286" t="s">
        <v>38</v>
      </c>
      <c r="D286" t="s">
        <v>21</v>
      </c>
      <c r="E286">
        <v>6644.04</v>
      </c>
      <c r="F286">
        <v>25</v>
      </c>
      <c r="G286" t="s">
        <v>35</v>
      </c>
      <c r="H286">
        <v>4148.4799999999996</v>
      </c>
      <c r="I286">
        <v>4293.6899999999996</v>
      </c>
      <c r="J286">
        <f>Table2[[#This Row],[Sales_Amount]]-(Table2[[#This Row],[Quantity_Sold]]*Table2[[#This Row],[Unit_Cost]])</f>
        <v>-97067.959999999992</v>
      </c>
    </row>
    <row r="287" spans="1:10" x14ac:dyDescent="0.3">
      <c r="A287">
        <v>1007</v>
      </c>
      <c r="B287" s="1">
        <v>44975</v>
      </c>
      <c r="C287" t="s">
        <v>42</v>
      </c>
      <c r="D287" t="s">
        <v>25</v>
      </c>
      <c r="E287">
        <v>876.71</v>
      </c>
      <c r="F287">
        <v>34</v>
      </c>
      <c r="G287" t="s">
        <v>29</v>
      </c>
      <c r="H287">
        <v>1921.07</v>
      </c>
      <c r="I287">
        <v>2289.27</v>
      </c>
      <c r="J287">
        <f>Table2[[#This Row],[Sales_Amount]]-(Table2[[#This Row],[Quantity_Sold]]*Table2[[#This Row],[Unit_Cost]])</f>
        <v>-64439.67</v>
      </c>
    </row>
    <row r="288" spans="1:10" x14ac:dyDescent="0.3">
      <c r="A288">
        <v>1016</v>
      </c>
      <c r="B288" s="1">
        <v>45253</v>
      </c>
      <c r="C288" t="s">
        <v>38</v>
      </c>
      <c r="D288" t="s">
        <v>34</v>
      </c>
      <c r="E288">
        <v>5490.52</v>
      </c>
      <c r="F288">
        <v>26</v>
      </c>
      <c r="G288" t="s">
        <v>29</v>
      </c>
      <c r="H288">
        <v>4906.8500000000004</v>
      </c>
      <c r="I288">
        <v>4954.3900000000003</v>
      </c>
      <c r="J288">
        <f>Table2[[#This Row],[Sales_Amount]]-(Table2[[#This Row],[Quantity_Sold]]*Table2[[#This Row],[Unit_Cost]])</f>
        <v>-122087.58</v>
      </c>
    </row>
    <row r="289" spans="1:10" x14ac:dyDescent="0.3">
      <c r="A289">
        <v>1090</v>
      </c>
      <c r="B289" s="1">
        <v>45183</v>
      </c>
      <c r="C289" t="s">
        <v>33</v>
      </c>
      <c r="D289" t="s">
        <v>21</v>
      </c>
      <c r="E289">
        <v>7122.28</v>
      </c>
      <c r="F289">
        <v>47</v>
      </c>
      <c r="G289" t="s">
        <v>29</v>
      </c>
      <c r="H289">
        <v>2357.9499999999998</v>
      </c>
      <c r="I289">
        <v>2693.33</v>
      </c>
      <c r="J289">
        <f>Table2[[#This Row],[Sales_Amount]]-(Table2[[#This Row],[Quantity_Sold]]*Table2[[#This Row],[Unit_Cost]])</f>
        <v>-103701.37</v>
      </c>
    </row>
    <row r="290" spans="1:10" x14ac:dyDescent="0.3">
      <c r="A290">
        <v>1060</v>
      </c>
      <c r="B290" s="1">
        <v>45150</v>
      </c>
      <c r="C290" t="s">
        <v>24</v>
      </c>
      <c r="D290" t="s">
        <v>15</v>
      </c>
      <c r="E290">
        <v>1756.48</v>
      </c>
      <c r="F290">
        <v>5</v>
      </c>
      <c r="G290" t="s">
        <v>16</v>
      </c>
      <c r="H290">
        <v>3970.08</v>
      </c>
      <c r="I290">
        <v>4096.4799999999996</v>
      </c>
      <c r="J290">
        <f>Table2[[#This Row],[Sales_Amount]]-(Table2[[#This Row],[Quantity_Sold]]*Table2[[#This Row],[Unit_Cost]])</f>
        <v>-18093.920000000002</v>
      </c>
    </row>
    <row r="291" spans="1:10" x14ac:dyDescent="0.3">
      <c r="A291">
        <v>1002</v>
      </c>
      <c r="B291" s="1">
        <v>45067</v>
      </c>
      <c r="C291" t="s">
        <v>33</v>
      </c>
      <c r="D291" t="s">
        <v>21</v>
      </c>
      <c r="E291">
        <v>7828.25</v>
      </c>
      <c r="F291">
        <v>26</v>
      </c>
      <c r="G291" t="s">
        <v>29</v>
      </c>
      <c r="H291">
        <v>2041.42</v>
      </c>
      <c r="I291">
        <v>2291.17</v>
      </c>
      <c r="J291">
        <f>Table2[[#This Row],[Sales_Amount]]-(Table2[[#This Row],[Quantity_Sold]]*Table2[[#This Row],[Unit_Cost]])</f>
        <v>-45248.67</v>
      </c>
    </row>
    <row r="292" spans="1:10" x14ac:dyDescent="0.3">
      <c r="A292">
        <v>1001</v>
      </c>
      <c r="B292" s="1">
        <v>45141</v>
      </c>
      <c r="C292" t="s">
        <v>14</v>
      </c>
      <c r="D292" t="s">
        <v>21</v>
      </c>
      <c r="E292">
        <v>5879.35</v>
      </c>
      <c r="F292">
        <v>20</v>
      </c>
      <c r="G292" t="s">
        <v>26</v>
      </c>
      <c r="H292">
        <v>2153.52</v>
      </c>
      <c r="I292">
        <v>2303.6999999999998</v>
      </c>
      <c r="J292">
        <f>Table2[[#This Row],[Sales_Amount]]-(Table2[[#This Row],[Quantity_Sold]]*Table2[[#This Row],[Unit_Cost]])</f>
        <v>-37191.050000000003</v>
      </c>
    </row>
    <row r="293" spans="1:10" x14ac:dyDescent="0.3">
      <c r="A293">
        <v>1048</v>
      </c>
      <c r="B293" s="1">
        <v>45137</v>
      </c>
      <c r="C293" t="s">
        <v>42</v>
      </c>
      <c r="D293" t="s">
        <v>15</v>
      </c>
      <c r="E293">
        <v>9527</v>
      </c>
      <c r="F293">
        <v>6</v>
      </c>
      <c r="G293" t="s">
        <v>16</v>
      </c>
      <c r="H293">
        <v>1945.27</v>
      </c>
      <c r="I293">
        <v>2309.4299999999998</v>
      </c>
      <c r="J293">
        <f>Table2[[#This Row],[Sales_Amount]]-(Table2[[#This Row],[Quantity_Sold]]*Table2[[#This Row],[Unit_Cost]])</f>
        <v>-2144.619999999999</v>
      </c>
    </row>
    <row r="294" spans="1:10" x14ac:dyDescent="0.3">
      <c r="A294">
        <v>1012</v>
      </c>
      <c r="B294" s="1">
        <v>45244</v>
      </c>
      <c r="C294" t="s">
        <v>38</v>
      </c>
      <c r="D294" t="s">
        <v>15</v>
      </c>
      <c r="E294">
        <v>519.98</v>
      </c>
      <c r="F294">
        <v>6</v>
      </c>
      <c r="G294" t="s">
        <v>29</v>
      </c>
      <c r="H294">
        <v>3609.42</v>
      </c>
      <c r="I294">
        <v>4082.62</v>
      </c>
      <c r="J294">
        <f>Table2[[#This Row],[Sales_Amount]]-(Table2[[#This Row],[Quantity_Sold]]*Table2[[#This Row],[Unit_Cost]])</f>
        <v>-21136.54</v>
      </c>
    </row>
    <row r="295" spans="1:10" x14ac:dyDescent="0.3">
      <c r="A295">
        <v>1069</v>
      </c>
      <c r="B295" s="1">
        <v>44958</v>
      </c>
      <c r="C295" t="s">
        <v>38</v>
      </c>
      <c r="D295" t="s">
        <v>15</v>
      </c>
      <c r="E295">
        <v>2726.73</v>
      </c>
      <c r="F295">
        <v>18</v>
      </c>
      <c r="G295" t="s">
        <v>16</v>
      </c>
      <c r="H295">
        <v>2760.21</v>
      </c>
      <c r="I295">
        <v>3219.58</v>
      </c>
      <c r="J295">
        <f>Table2[[#This Row],[Sales_Amount]]-(Table2[[#This Row],[Quantity_Sold]]*Table2[[#This Row],[Unit_Cost]])</f>
        <v>-46957.049999999996</v>
      </c>
    </row>
    <row r="296" spans="1:10" x14ac:dyDescent="0.3">
      <c r="A296">
        <v>1037</v>
      </c>
      <c r="B296" s="1">
        <v>45084</v>
      </c>
      <c r="C296" t="s">
        <v>42</v>
      </c>
      <c r="D296" t="s">
        <v>25</v>
      </c>
      <c r="E296">
        <v>6055.38</v>
      </c>
      <c r="F296">
        <v>4</v>
      </c>
      <c r="G296" t="s">
        <v>26</v>
      </c>
      <c r="H296">
        <v>4721.7</v>
      </c>
      <c r="I296">
        <v>5017.58</v>
      </c>
      <c r="J296">
        <f>Table2[[#This Row],[Sales_Amount]]-(Table2[[#This Row],[Quantity_Sold]]*Table2[[#This Row],[Unit_Cost]])</f>
        <v>-12831.419999999998</v>
      </c>
    </row>
    <row r="297" spans="1:10" x14ac:dyDescent="0.3">
      <c r="A297">
        <v>1032</v>
      </c>
      <c r="B297" s="1">
        <v>45211</v>
      </c>
      <c r="C297" t="s">
        <v>42</v>
      </c>
      <c r="D297" t="s">
        <v>15</v>
      </c>
      <c r="E297">
        <v>3035.94</v>
      </c>
      <c r="F297">
        <v>17</v>
      </c>
      <c r="G297" t="s">
        <v>29</v>
      </c>
      <c r="H297">
        <v>1291.9100000000001</v>
      </c>
      <c r="I297">
        <v>1528.59</v>
      </c>
      <c r="J297">
        <f>Table2[[#This Row],[Sales_Amount]]-(Table2[[#This Row],[Quantity_Sold]]*Table2[[#This Row],[Unit_Cost]])</f>
        <v>-18926.530000000002</v>
      </c>
    </row>
    <row r="298" spans="1:10" x14ac:dyDescent="0.3">
      <c r="A298">
        <v>1009</v>
      </c>
      <c r="B298" s="1">
        <v>45231</v>
      </c>
      <c r="C298" t="s">
        <v>14</v>
      </c>
      <c r="D298" t="s">
        <v>25</v>
      </c>
      <c r="E298">
        <v>7172.8</v>
      </c>
      <c r="F298">
        <v>14</v>
      </c>
      <c r="G298" t="s">
        <v>26</v>
      </c>
      <c r="H298">
        <v>547.79</v>
      </c>
      <c r="I298">
        <v>958.76</v>
      </c>
      <c r="J298">
        <f>Table2[[#This Row],[Sales_Amount]]-(Table2[[#This Row],[Quantity_Sold]]*Table2[[#This Row],[Unit_Cost]])</f>
        <v>-496.25999999999931</v>
      </c>
    </row>
    <row r="299" spans="1:10" x14ac:dyDescent="0.3">
      <c r="A299">
        <v>1099</v>
      </c>
      <c r="B299" s="1">
        <v>45212</v>
      </c>
      <c r="C299" t="s">
        <v>33</v>
      </c>
      <c r="D299" t="s">
        <v>15</v>
      </c>
      <c r="E299">
        <v>7614.15</v>
      </c>
      <c r="F299">
        <v>14</v>
      </c>
      <c r="G299" t="s">
        <v>26</v>
      </c>
      <c r="H299">
        <v>1996.64</v>
      </c>
      <c r="I299">
        <v>2341.4699999999998</v>
      </c>
      <c r="J299">
        <f>Table2[[#This Row],[Sales_Amount]]-(Table2[[#This Row],[Quantity_Sold]]*Table2[[#This Row],[Unit_Cost]])</f>
        <v>-20338.810000000005</v>
      </c>
    </row>
    <row r="300" spans="1:10" x14ac:dyDescent="0.3">
      <c r="A300">
        <v>1019</v>
      </c>
      <c r="B300" s="1">
        <v>45070</v>
      </c>
      <c r="C300" t="s">
        <v>38</v>
      </c>
      <c r="D300" t="s">
        <v>25</v>
      </c>
      <c r="E300">
        <v>1114.9100000000001</v>
      </c>
      <c r="F300">
        <v>13</v>
      </c>
      <c r="G300" t="s">
        <v>26</v>
      </c>
      <c r="H300">
        <v>3102.73</v>
      </c>
      <c r="I300">
        <v>3202.68</v>
      </c>
      <c r="J300">
        <f>Table2[[#This Row],[Sales_Amount]]-(Table2[[#This Row],[Quantity_Sold]]*Table2[[#This Row],[Unit_Cost]])</f>
        <v>-39220.579999999994</v>
      </c>
    </row>
    <row r="301" spans="1:10" x14ac:dyDescent="0.3">
      <c r="A301">
        <v>1048</v>
      </c>
      <c r="B301" s="1">
        <v>44945</v>
      </c>
      <c r="C301" t="s">
        <v>14</v>
      </c>
      <c r="D301" t="s">
        <v>21</v>
      </c>
      <c r="E301">
        <v>5187.16</v>
      </c>
      <c r="F301">
        <v>7</v>
      </c>
      <c r="G301" t="s">
        <v>29</v>
      </c>
      <c r="H301">
        <v>4310.95</v>
      </c>
      <c r="I301">
        <v>4723.2</v>
      </c>
      <c r="J301">
        <f>Table2[[#This Row],[Sales_Amount]]-(Table2[[#This Row],[Quantity_Sold]]*Table2[[#This Row],[Unit_Cost]])</f>
        <v>-24989.489999999998</v>
      </c>
    </row>
    <row r="302" spans="1:10" x14ac:dyDescent="0.3">
      <c r="A302">
        <v>1080</v>
      </c>
      <c r="B302" s="1">
        <v>44944</v>
      </c>
      <c r="C302" t="s">
        <v>33</v>
      </c>
      <c r="D302" t="s">
        <v>34</v>
      </c>
      <c r="E302">
        <v>5138.0200000000004</v>
      </c>
      <c r="F302">
        <v>44</v>
      </c>
      <c r="G302" t="s">
        <v>35</v>
      </c>
      <c r="H302">
        <v>1763.67</v>
      </c>
      <c r="I302">
        <v>1983.82</v>
      </c>
      <c r="J302">
        <f>Table2[[#This Row],[Sales_Amount]]-(Table2[[#This Row],[Quantity_Sold]]*Table2[[#This Row],[Unit_Cost]])</f>
        <v>-72463.460000000006</v>
      </c>
    </row>
    <row r="303" spans="1:10" x14ac:dyDescent="0.3">
      <c r="A303">
        <v>1003</v>
      </c>
      <c r="B303" s="1">
        <v>45183</v>
      </c>
      <c r="C303" t="s">
        <v>14</v>
      </c>
      <c r="D303" t="s">
        <v>21</v>
      </c>
      <c r="E303">
        <v>3755.88</v>
      </c>
      <c r="F303">
        <v>15</v>
      </c>
      <c r="G303" t="s">
        <v>29</v>
      </c>
      <c r="H303">
        <v>3286.24</v>
      </c>
      <c r="I303">
        <v>3388.8399999999901</v>
      </c>
      <c r="J303">
        <f>Table2[[#This Row],[Sales_Amount]]-(Table2[[#This Row],[Quantity_Sold]]*Table2[[#This Row],[Unit_Cost]])</f>
        <v>-45537.72</v>
      </c>
    </row>
    <row r="304" spans="1:10" x14ac:dyDescent="0.3">
      <c r="A304">
        <v>1020</v>
      </c>
      <c r="B304" s="1">
        <v>45004</v>
      </c>
      <c r="C304" t="s">
        <v>38</v>
      </c>
      <c r="D304" t="s">
        <v>21</v>
      </c>
      <c r="E304">
        <v>9335.9599999999991</v>
      </c>
      <c r="F304">
        <v>19</v>
      </c>
      <c r="G304" t="s">
        <v>26</v>
      </c>
      <c r="H304">
        <v>1783.48</v>
      </c>
      <c r="I304">
        <v>1931.56</v>
      </c>
      <c r="J304">
        <f>Table2[[#This Row],[Sales_Amount]]-(Table2[[#This Row],[Quantity_Sold]]*Table2[[#This Row],[Unit_Cost]])</f>
        <v>-24550.160000000003</v>
      </c>
    </row>
    <row r="305" spans="1:10" x14ac:dyDescent="0.3">
      <c r="A305">
        <v>1024</v>
      </c>
      <c r="B305" s="1">
        <v>45101</v>
      </c>
      <c r="C305" t="s">
        <v>42</v>
      </c>
      <c r="D305" t="s">
        <v>15</v>
      </c>
      <c r="E305">
        <v>8292.31</v>
      </c>
      <c r="F305">
        <v>43</v>
      </c>
      <c r="G305" t="s">
        <v>29</v>
      </c>
      <c r="H305">
        <v>3105.24</v>
      </c>
      <c r="I305">
        <v>3246.33</v>
      </c>
      <c r="J305">
        <f>Table2[[#This Row],[Sales_Amount]]-(Table2[[#This Row],[Quantity_Sold]]*Table2[[#This Row],[Unit_Cost]])</f>
        <v>-125233.00999999998</v>
      </c>
    </row>
    <row r="306" spans="1:10" x14ac:dyDescent="0.3">
      <c r="A306">
        <v>1054</v>
      </c>
      <c r="B306" s="1">
        <v>45120</v>
      </c>
      <c r="C306" t="s">
        <v>42</v>
      </c>
      <c r="D306" t="s">
        <v>25</v>
      </c>
      <c r="E306">
        <v>7002.37</v>
      </c>
      <c r="F306">
        <v>47</v>
      </c>
      <c r="G306" t="s">
        <v>26</v>
      </c>
      <c r="H306">
        <v>4429.8</v>
      </c>
      <c r="I306">
        <v>4694.21</v>
      </c>
      <c r="J306">
        <f>Table2[[#This Row],[Sales_Amount]]-(Table2[[#This Row],[Quantity_Sold]]*Table2[[#This Row],[Unit_Cost]])</f>
        <v>-201198.23</v>
      </c>
    </row>
    <row r="307" spans="1:10" x14ac:dyDescent="0.3">
      <c r="A307">
        <v>1033</v>
      </c>
      <c r="B307" s="1">
        <v>45039</v>
      </c>
      <c r="C307" t="s">
        <v>33</v>
      </c>
      <c r="D307" t="s">
        <v>34</v>
      </c>
      <c r="E307">
        <v>7171.83</v>
      </c>
      <c r="F307">
        <v>44</v>
      </c>
      <c r="G307" t="s">
        <v>35</v>
      </c>
      <c r="H307">
        <v>1195.22</v>
      </c>
      <c r="I307">
        <v>1320.06</v>
      </c>
      <c r="J307">
        <f>Table2[[#This Row],[Sales_Amount]]-(Table2[[#This Row],[Quantity_Sold]]*Table2[[#This Row],[Unit_Cost]])</f>
        <v>-45417.85</v>
      </c>
    </row>
    <row r="308" spans="1:10" x14ac:dyDescent="0.3">
      <c r="A308">
        <v>1024</v>
      </c>
      <c r="B308" s="1">
        <v>45040</v>
      </c>
      <c r="C308" t="s">
        <v>24</v>
      </c>
      <c r="D308" t="s">
        <v>15</v>
      </c>
      <c r="E308">
        <v>4670.99</v>
      </c>
      <c r="F308">
        <v>35</v>
      </c>
      <c r="G308" t="s">
        <v>16</v>
      </c>
      <c r="H308">
        <v>2051</v>
      </c>
      <c r="I308">
        <v>2121.5500000000002</v>
      </c>
      <c r="J308">
        <f>Table2[[#This Row],[Sales_Amount]]-(Table2[[#This Row],[Quantity_Sold]]*Table2[[#This Row],[Unit_Cost]])</f>
        <v>-67114.009999999995</v>
      </c>
    </row>
    <row r="309" spans="1:10" x14ac:dyDescent="0.3">
      <c r="A309">
        <v>1075</v>
      </c>
      <c r="B309" s="1">
        <v>45148</v>
      </c>
      <c r="C309" t="s">
        <v>33</v>
      </c>
      <c r="D309" t="s">
        <v>15</v>
      </c>
      <c r="E309">
        <v>9217.85</v>
      </c>
      <c r="F309">
        <v>17</v>
      </c>
      <c r="G309" t="s">
        <v>35</v>
      </c>
      <c r="H309">
        <v>4966.66</v>
      </c>
      <c r="I309">
        <v>5037.2699999999904</v>
      </c>
      <c r="J309">
        <f>Table2[[#This Row],[Sales_Amount]]-(Table2[[#This Row],[Quantity_Sold]]*Table2[[#This Row],[Unit_Cost]])</f>
        <v>-75215.37</v>
      </c>
    </row>
    <row r="310" spans="1:10" x14ac:dyDescent="0.3">
      <c r="A310">
        <v>1072</v>
      </c>
      <c r="B310" s="1">
        <v>45092</v>
      </c>
      <c r="C310" t="s">
        <v>24</v>
      </c>
      <c r="D310" t="s">
        <v>15</v>
      </c>
      <c r="E310">
        <v>6976.49</v>
      </c>
      <c r="F310">
        <v>35</v>
      </c>
      <c r="G310" t="s">
        <v>35</v>
      </c>
      <c r="H310">
        <v>4349.3599999999997</v>
      </c>
      <c r="I310">
        <v>4645.17</v>
      </c>
      <c r="J310">
        <f>Table2[[#This Row],[Sales_Amount]]-(Table2[[#This Row],[Quantity_Sold]]*Table2[[#This Row],[Unit_Cost]])</f>
        <v>-145251.10999999999</v>
      </c>
    </row>
    <row r="311" spans="1:10" x14ac:dyDescent="0.3">
      <c r="A311">
        <v>1036</v>
      </c>
      <c r="B311" s="1">
        <v>45245</v>
      </c>
      <c r="C311" t="s">
        <v>14</v>
      </c>
      <c r="D311" t="s">
        <v>21</v>
      </c>
      <c r="E311">
        <v>7316.91</v>
      </c>
      <c r="F311">
        <v>19</v>
      </c>
      <c r="G311" t="s">
        <v>16</v>
      </c>
      <c r="H311">
        <v>2844.97</v>
      </c>
      <c r="I311">
        <v>3215</v>
      </c>
      <c r="J311">
        <f>Table2[[#This Row],[Sales_Amount]]-(Table2[[#This Row],[Quantity_Sold]]*Table2[[#This Row],[Unit_Cost]])</f>
        <v>-46737.51999999999</v>
      </c>
    </row>
    <row r="312" spans="1:10" x14ac:dyDescent="0.3">
      <c r="A312">
        <v>1038</v>
      </c>
      <c r="B312" s="1">
        <v>45058</v>
      </c>
      <c r="C312" t="s">
        <v>14</v>
      </c>
      <c r="D312" t="s">
        <v>25</v>
      </c>
      <c r="E312">
        <v>8630.74</v>
      </c>
      <c r="F312">
        <v>20</v>
      </c>
      <c r="G312" t="s">
        <v>29</v>
      </c>
      <c r="H312">
        <v>2607.31</v>
      </c>
      <c r="I312">
        <v>2774.86</v>
      </c>
      <c r="J312">
        <f>Table2[[#This Row],[Sales_Amount]]-(Table2[[#This Row],[Quantity_Sold]]*Table2[[#This Row],[Unit_Cost]])</f>
        <v>-43515.46</v>
      </c>
    </row>
    <row r="313" spans="1:10" x14ac:dyDescent="0.3">
      <c r="A313">
        <v>1084</v>
      </c>
      <c r="B313" s="1">
        <v>45190</v>
      </c>
      <c r="C313" t="s">
        <v>38</v>
      </c>
      <c r="D313" t="s">
        <v>25</v>
      </c>
      <c r="E313">
        <v>2813.31</v>
      </c>
      <c r="F313">
        <v>36</v>
      </c>
      <c r="G313" t="s">
        <v>16</v>
      </c>
      <c r="H313">
        <v>1458.77</v>
      </c>
      <c r="I313">
        <v>1485.75</v>
      </c>
      <c r="J313">
        <f>Table2[[#This Row],[Sales_Amount]]-(Table2[[#This Row],[Quantity_Sold]]*Table2[[#This Row],[Unit_Cost]])</f>
        <v>-49702.41</v>
      </c>
    </row>
    <row r="314" spans="1:10" x14ac:dyDescent="0.3">
      <c r="A314">
        <v>1099</v>
      </c>
      <c r="B314" s="1">
        <v>44981</v>
      </c>
      <c r="C314" t="s">
        <v>24</v>
      </c>
      <c r="D314" t="s">
        <v>34</v>
      </c>
      <c r="E314">
        <v>8090</v>
      </c>
      <c r="F314">
        <v>35</v>
      </c>
      <c r="G314" t="s">
        <v>29</v>
      </c>
      <c r="H314">
        <v>2610.19</v>
      </c>
      <c r="I314">
        <v>2682.53</v>
      </c>
      <c r="J314">
        <f>Table2[[#This Row],[Sales_Amount]]-(Table2[[#This Row],[Quantity_Sold]]*Table2[[#This Row],[Unit_Cost]])</f>
        <v>-83266.650000000009</v>
      </c>
    </row>
    <row r="315" spans="1:10" x14ac:dyDescent="0.3">
      <c r="A315">
        <v>1089</v>
      </c>
      <c r="B315" s="1">
        <v>45285</v>
      </c>
      <c r="C315" t="s">
        <v>38</v>
      </c>
      <c r="D315" t="s">
        <v>25</v>
      </c>
      <c r="E315">
        <v>2032.88</v>
      </c>
      <c r="F315">
        <v>32</v>
      </c>
      <c r="G315" t="s">
        <v>29</v>
      </c>
      <c r="H315">
        <v>4248.5</v>
      </c>
      <c r="I315">
        <v>4706.7</v>
      </c>
      <c r="J315">
        <f>Table2[[#This Row],[Sales_Amount]]-(Table2[[#This Row],[Quantity_Sold]]*Table2[[#This Row],[Unit_Cost]])</f>
        <v>-133919.12</v>
      </c>
    </row>
    <row r="316" spans="1:10" x14ac:dyDescent="0.3">
      <c r="A316">
        <v>1099</v>
      </c>
      <c r="B316" s="1">
        <v>45057</v>
      </c>
      <c r="C316" t="s">
        <v>42</v>
      </c>
      <c r="D316" t="s">
        <v>25</v>
      </c>
      <c r="E316">
        <v>3518.89</v>
      </c>
      <c r="F316">
        <v>48</v>
      </c>
      <c r="G316" t="s">
        <v>26</v>
      </c>
      <c r="H316">
        <v>3441.61</v>
      </c>
      <c r="I316">
        <v>3693.45</v>
      </c>
      <c r="J316">
        <f>Table2[[#This Row],[Sales_Amount]]-(Table2[[#This Row],[Quantity_Sold]]*Table2[[#This Row],[Unit_Cost]])</f>
        <v>-161678.38999999998</v>
      </c>
    </row>
    <row r="317" spans="1:10" x14ac:dyDescent="0.3">
      <c r="A317">
        <v>1025</v>
      </c>
      <c r="B317" s="1">
        <v>45214</v>
      </c>
      <c r="C317" t="s">
        <v>24</v>
      </c>
      <c r="D317" t="s">
        <v>15</v>
      </c>
      <c r="E317">
        <v>3422.54</v>
      </c>
      <c r="F317">
        <v>44</v>
      </c>
      <c r="G317" t="s">
        <v>26</v>
      </c>
      <c r="H317">
        <v>1485.72</v>
      </c>
      <c r="I317">
        <v>1717.97</v>
      </c>
      <c r="J317">
        <f>Table2[[#This Row],[Sales_Amount]]-(Table2[[#This Row],[Quantity_Sold]]*Table2[[#This Row],[Unit_Cost]])</f>
        <v>-61949.14</v>
      </c>
    </row>
    <row r="318" spans="1:10" x14ac:dyDescent="0.3">
      <c r="A318">
        <v>1093</v>
      </c>
      <c r="B318" s="1">
        <v>45192</v>
      </c>
      <c r="C318" t="s">
        <v>33</v>
      </c>
      <c r="D318" t="s">
        <v>15</v>
      </c>
      <c r="E318">
        <v>9787.4</v>
      </c>
      <c r="F318">
        <v>40</v>
      </c>
      <c r="G318" t="s">
        <v>16</v>
      </c>
      <c r="H318">
        <v>1047.25</v>
      </c>
      <c r="I318">
        <v>1075.8900000000001</v>
      </c>
      <c r="J318">
        <f>Table2[[#This Row],[Sales_Amount]]-(Table2[[#This Row],[Quantity_Sold]]*Table2[[#This Row],[Unit_Cost]])</f>
        <v>-32102.6</v>
      </c>
    </row>
    <row r="319" spans="1:10" x14ac:dyDescent="0.3">
      <c r="A319">
        <v>1018</v>
      </c>
      <c r="B319" s="1">
        <v>45292</v>
      </c>
      <c r="C319" t="s">
        <v>42</v>
      </c>
      <c r="D319" t="s">
        <v>21</v>
      </c>
      <c r="E319">
        <v>8579.7199999999993</v>
      </c>
      <c r="F319">
        <v>24</v>
      </c>
      <c r="G319" t="s">
        <v>35</v>
      </c>
      <c r="H319">
        <v>1362.78</v>
      </c>
      <c r="I319">
        <v>1729.81</v>
      </c>
      <c r="J319">
        <f>Table2[[#This Row],[Sales_Amount]]-(Table2[[#This Row],[Quantity_Sold]]*Table2[[#This Row],[Unit_Cost]])</f>
        <v>-24127</v>
      </c>
    </row>
    <row r="320" spans="1:10" x14ac:dyDescent="0.3">
      <c r="A320">
        <v>1082</v>
      </c>
      <c r="B320" s="1">
        <v>45088</v>
      </c>
      <c r="C320" t="s">
        <v>42</v>
      </c>
      <c r="D320" t="s">
        <v>15</v>
      </c>
      <c r="E320">
        <v>7041.58</v>
      </c>
      <c r="F320">
        <v>17</v>
      </c>
      <c r="G320" t="s">
        <v>16</v>
      </c>
      <c r="H320">
        <v>890.31</v>
      </c>
      <c r="I320">
        <v>1159.06</v>
      </c>
      <c r="J320">
        <f>Table2[[#This Row],[Sales_Amount]]-(Table2[[#This Row],[Quantity_Sold]]*Table2[[#This Row],[Unit_Cost]])</f>
        <v>-8093.6899999999987</v>
      </c>
    </row>
    <row r="321" spans="1:10" x14ac:dyDescent="0.3">
      <c r="A321">
        <v>1066</v>
      </c>
      <c r="B321" s="1">
        <v>45013</v>
      </c>
      <c r="C321" t="s">
        <v>33</v>
      </c>
      <c r="D321" t="s">
        <v>15</v>
      </c>
      <c r="E321">
        <v>7297.86</v>
      </c>
      <c r="F321">
        <v>7</v>
      </c>
      <c r="G321" t="s">
        <v>29</v>
      </c>
      <c r="H321">
        <v>523.41999999999996</v>
      </c>
      <c r="I321">
        <v>632.43999999999903</v>
      </c>
      <c r="J321">
        <f>Table2[[#This Row],[Sales_Amount]]-(Table2[[#This Row],[Quantity_Sold]]*Table2[[#This Row],[Unit_Cost]])</f>
        <v>3633.92</v>
      </c>
    </row>
    <row r="322" spans="1:10" x14ac:dyDescent="0.3">
      <c r="A322">
        <v>1054</v>
      </c>
      <c r="B322" s="1">
        <v>44981</v>
      </c>
      <c r="C322" t="s">
        <v>42</v>
      </c>
      <c r="D322" t="s">
        <v>15</v>
      </c>
      <c r="E322">
        <v>5664.52</v>
      </c>
      <c r="F322">
        <v>43</v>
      </c>
      <c r="G322" t="s">
        <v>26</v>
      </c>
      <c r="H322">
        <v>2124.7199999999998</v>
      </c>
      <c r="I322">
        <v>2188.66</v>
      </c>
      <c r="J322">
        <f>Table2[[#This Row],[Sales_Amount]]-(Table2[[#This Row],[Quantity_Sold]]*Table2[[#This Row],[Unit_Cost]])</f>
        <v>-85698.439999999988</v>
      </c>
    </row>
    <row r="323" spans="1:10" x14ac:dyDescent="0.3">
      <c r="A323">
        <v>1035</v>
      </c>
      <c r="B323" s="1">
        <v>45214</v>
      </c>
      <c r="C323" t="s">
        <v>24</v>
      </c>
      <c r="D323" t="s">
        <v>15</v>
      </c>
      <c r="E323">
        <v>9476.2000000000007</v>
      </c>
      <c r="F323">
        <v>1</v>
      </c>
      <c r="G323" t="s">
        <v>16</v>
      </c>
      <c r="H323">
        <v>610.83000000000004</v>
      </c>
      <c r="I323">
        <v>808.69</v>
      </c>
      <c r="J323">
        <f>Table2[[#This Row],[Sales_Amount]]-(Table2[[#This Row],[Quantity_Sold]]*Table2[[#This Row],[Unit_Cost]])</f>
        <v>8865.3700000000008</v>
      </c>
    </row>
    <row r="324" spans="1:10" x14ac:dyDescent="0.3">
      <c r="A324">
        <v>1080</v>
      </c>
      <c r="B324" s="1">
        <v>45104</v>
      </c>
      <c r="C324" t="s">
        <v>38</v>
      </c>
      <c r="D324" t="s">
        <v>21</v>
      </c>
      <c r="E324">
        <v>5012.96</v>
      </c>
      <c r="F324">
        <v>35</v>
      </c>
      <c r="G324" t="s">
        <v>16</v>
      </c>
      <c r="H324">
        <v>900.97</v>
      </c>
      <c r="I324">
        <v>1321.18</v>
      </c>
      <c r="J324">
        <f>Table2[[#This Row],[Sales_Amount]]-(Table2[[#This Row],[Quantity_Sold]]*Table2[[#This Row],[Unit_Cost]])</f>
        <v>-26520.99</v>
      </c>
    </row>
    <row r="325" spans="1:10" x14ac:dyDescent="0.3">
      <c r="A325">
        <v>1061</v>
      </c>
      <c r="B325" s="1">
        <v>45275</v>
      </c>
      <c r="C325" t="s">
        <v>42</v>
      </c>
      <c r="D325" t="s">
        <v>15</v>
      </c>
      <c r="E325">
        <v>3867.13</v>
      </c>
      <c r="F325">
        <v>32</v>
      </c>
      <c r="G325" t="s">
        <v>26</v>
      </c>
      <c r="H325">
        <v>2759.26</v>
      </c>
      <c r="I325">
        <v>3193.25</v>
      </c>
      <c r="J325">
        <f>Table2[[#This Row],[Sales_Amount]]-(Table2[[#This Row],[Quantity_Sold]]*Table2[[#This Row],[Unit_Cost]])</f>
        <v>-84429.19</v>
      </c>
    </row>
    <row r="326" spans="1:10" x14ac:dyDescent="0.3">
      <c r="A326">
        <v>1041</v>
      </c>
      <c r="B326" s="1">
        <v>44934</v>
      </c>
      <c r="C326" t="s">
        <v>24</v>
      </c>
      <c r="D326" t="s">
        <v>34</v>
      </c>
      <c r="E326">
        <v>1714.05</v>
      </c>
      <c r="F326">
        <v>36</v>
      </c>
      <c r="G326" t="s">
        <v>26</v>
      </c>
      <c r="H326">
        <v>864.77</v>
      </c>
      <c r="I326">
        <v>1170.1599999999901</v>
      </c>
      <c r="J326">
        <f>Table2[[#This Row],[Sales_Amount]]-(Table2[[#This Row],[Quantity_Sold]]*Table2[[#This Row],[Unit_Cost]])</f>
        <v>-29417.670000000002</v>
      </c>
    </row>
    <row r="327" spans="1:10" x14ac:dyDescent="0.3">
      <c r="A327">
        <v>1100</v>
      </c>
      <c r="B327" s="1">
        <v>45247</v>
      </c>
      <c r="C327" t="s">
        <v>14</v>
      </c>
      <c r="D327" t="s">
        <v>34</v>
      </c>
      <c r="E327">
        <v>7883.44</v>
      </c>
      <c r="F327">
        <v>13</v>
      </c>
      <c r="G327" t="s">
        <v>26</v>
      </c>
      <c r="H327">
        <v>366.2</v>
      </c>
      <c r="I327">
        <v>732.69</v>
      </c>
      <c r="J327">
        <f>Table2[[#This Row],[Sales_Amount]]-(Table2[[#This Row],[Quantity_Sold]]*Table2[[#This Row],[Unit_Cost]])</f>
        <v>3122.84</v>
      </c>
    </row>
    <row r="328" spans="1:10" x14ac:dyDescent="0.3">
      <c r="A328">
        <v>1033</v>
      </c>
      <c r="B328" s="1">
        <v>45239</v>
      </c>
      <c r="C328" t="s">
        <v>24</v>
      </c>
      <c r="D328" t="s">
        <v>34</v>
      </c>
      <c r="E328">
        <v>7370.99</v>
      </c>
      <c r="F328">
        <v>6</v>
      </c>
      <c r="G328" t="s">
        <v>29</v>
      </c>
      <c r="H328">
        <v>1621.07</v>
      </c>
      <c r="I328">
        <v>1687.5</v>
      </c>
      <c r="J328">
        <f>Table2[[#This Row],[Sales_Amount]]-(Table2[[#This Row],[Quantity_Sold]]*Table2[[#This Row],[Unit_Cost]])</f>
        <v>-2355.4300000000003</v>
      </c>
    </row>
    <row r="329" spans="1:10" x14ac:dyDescent="0.3">
      <c r="A329">
        <v>1068</v>
      </c>
      <c r="B329" s="1">
        <v>45173</v>
      </c>
      <c r="C329" t="s">
        <v>38</v>
      </c>
      <c r="D329" t="s">
        <v>34</v>
      </c>
      <c r="E329">
        <v>3905.11</v>
      </c>
      <c r="F329">
        <v>14</v>
      </c>
      <c r="G329" t="s">
        <v>26</v>
      </c>
      <c r="H329">
        <v>1140.58</v>
      </c>
      <c r="I329">
        <v>1438.76</v>
      </c>
      <c r="J329">
        <f>Table2[[#This Row],[Sales_Amount]]-(Table2[[#This Row],[Quantity_Sold]]*Table2[[#This Row],[Unit_Cost]])</f>
        <v>-12063.009999999998</v>
      </c>
    </row>
    <row r="330" spans="1:10" x14ac:dyDescent="0.3">
      <c r="A330">
        <v>1033</v>
      </c>
      <c r="B330" s="1">
        <v>45249</v>
      </c>
      <c r="C330" t="s">
        <v>24</v>
      </c>
      <c r="D330" t="s">
        <v>15</v>
      </c>
      <c r="E330">
        <v>349.41</v>
      </c>
      <c r="F330">
        <v>37</v>
      </c>
      <c r="G330" t="s">
        <v>35</v>
      </c>
      <c r="H330">
        <v>2600.7600000000002</v>
      </c>
      <c r="I330">
        <v>2937.57</v>
      </c>
      <c r="J330">
        <f>Table2[[#This Row],[Sales_Amount]]-(Table2[[#This Row],[Quantity_Sold]]*Table2[[#This Row],[Unit_Cost]])</f>
        <v>-95878.71</v>
      </c>
    </row>
    <row r="331" spans="1:10" x14ac:dyDescent="0.3">
      <c r="A331">
        <v>1014</v>
      </c>
      <c r="B331" s="1">
        <v>45181</v>
      </c>
      <c r="C331" t="s">
        <v>33</v>
      </c>
      <c r="D331" t="s">
        <v>34</v>
      </c>
      <c r="E331">
        <v>8406.07</v>
      </c>
      <c r="F331">
        <v>48</v>
      </c>
      <c r="G331" t="s">
        <v>16</v>
      </c>
      <c r="H331">
        <v>556.72</v>
      </c>
      <c r="I331">
        <v>665.07</v>
      </c>
      <c r="J331">
        <f>Table2[[#This Row],[Sales_Amount]]-(Table2[[#This Row],[Quantity_Sold]]*Table2[[#This Row],[Unit_Cost]])</f>
        <v>-18316.490000000002</v>
      </c>
    </row>
    <row r="332" spans="1:10" x14ac:dyDescent="0.3">
      <c r="A332">
        <v>1021</v>
      </c>
      <c r="B332" s="1">
        <v>45254</v>
      </c>
      <c r="C332" t="s">
        <v>38</v>
      </c>
      <c r="D332" t="s">
        <v>15</v>
      </c>
      <c r="E332">
        <v>213.04</v>
      </c>
      <c r="F332">
        <v>15</v>
      </c>
      <c r="G332" t="s">
        <v>26</v>
      </c>
      <c r="H332">
        <v>3771.27</v>
      </c>
      <c r="I332">
        <v>4212.55</v>
      </c>
      <c r="J332">
        <f>Table2[[#This Row],[Sales_Amount]]-(Table2[[#This Row],[Quantity_Sold]]*Table2[[#This Row],[Unit_Cost]])</f>
        <v>-56356.01</v>
      </c>
    </row>
    <row r="333" spans="1:10" x14ac:dyDescent="0.3">
      <c r="A333">
        <v>1048</v>
      </c>
      <c r="B333" s="1">
        <v>44980</v>
      </c>
      <c r="C333" t="s">
        <v>14</v>
      </c>
      <c r="D333" t="s">
        <v>21</v>
      </c>
      <c r="E333">
        <v>7066.63</v>
      </c>
      <c r="F333">
        <v>47</v>
      </c>
      <c r="G333" t="s">
        <v>26</v>
      </c>
      <c r="H333">
        <v>4535.8599999999997</v>
      </c>
      <c r="I333">
        <v>4641.41</v>
      </c>
      <c r="J333">
        <f>Table2[[#This Row],[Sales_Amount]]-(Table2[[#This Row],[Quantity_Sold]]*Table2[[#This Row],[Unit_Cost]])</f>
        <v>-206118.78999999998</v>
      </c>
    </row>
    <row r="334" spans="1:10" x14ac:dyDescent="0.3">
      <c r="A334">
        <v>1020</v>
      </c>
      <c r="B334" s="1">
        <v>45175</v>
      </c>
      <c r="C334" t="s">
        <v>33</v>
      </c>
      <c r="D334" t="s">
        <v>34</v>
      </c>
      <c r="E334">
        <v>9705.5499999999993</v>
      </c>
      <c r="F334">
        <v>4</v>
      </c>
      <c r="G334" t="s">
        <v>29</v>
      </c>
      <c r="H334">
        <v>3730</v>
      </c>
      <c r="I334">
        <v>3893.6</v>
      </c>
      <c r="J334">
        <f>Table2[[#This Row],[Sales_Amount]]-(Table2[[#This Row],[Quantity_Sold]]*Table2[[#This Row],[Unit_Cost]])</f>
        <v>-5214.4500000000007</v>
      </c>
    </row>
    <row r="335" spans="1:10" x14ac:dyDescent="0.3">
      <c r="A335">
        <v>1008</v>
      </c>
      <c r="B335" s="1">
        <v>45165</v>
      </c>
      <c r="C335" t="s">
        <v>24</v>
      </c>
      <c r="D335" t="s">
        <v>25</v>
      </c>
      <c r="E335">
        <v>4432.8500000000004</v>
      </c>
      <c r="F335">
        <v>40</v>
      </c>
      <c r="G335" t="s">
        <v>29</v>
      </c>
      <c r="H335">
        <v>2687.49</v>
      </c>
      <c r="I335">
        <v>3001.56</v>
      </c>
      <c r="J335">
        <f>Table2[[#This Row],[Sales_Amount]]-(Table2[[#This Row],[Quantity_Sold]]*Table2[[#This Row],[Unit_Cost]])</f>
        <v>-103066.74999999999</v>
      </c>
    </row>
    <row r="336" spans="1:10" x14ac:dyDescent="0.3">
      <c r="A336">
        <v>1007</v>
      </c>
      <c r="B336" s="1">
        <v>45155</v>
      </c>
      <c r="C336" t="s">
        <v>38</v>
      </c>
      <c r="D336" t="s">
        <v>34</v>
      </c>
      <c r="E336">
        <v>2426.2399999999998</v>
      </c>
      <c r="F336">
        <v>16</v>
      </c>
      <c r="G336" t="s">
        <v>16</v>
      </c>
      <c r="H336">
        <v>4310.3100000000004</v>
      </c>
      <c r="I336">
        <v>4633.1000000000004</v>
      </c>
      <c r="J336">
        <f>Table2[[#This Row],[Sales_Amount]]-(Table2[[#This Row],[Quantity_Sold]]*Table2[[#This Row],[Unit_Cost]])</f>
        <v>-66538.720000000001</v>
      </c>
    </row>
    <row r="337" spans="1:10" x14ac:dyDescent="0.3">
      <c r="A337">
        <v>1067</v>
      </c>
      <c r="B337" s="1">
        <v>44993</v>
      </c>
      <c r="C337" t="s">
        <v>14</v>
      </c>
      <c r="D337" t="s">
        <v>34</v>
      </c>
      <c r="E337">
        <v>7078.22</v>
      </c>
      <c r="F337">
        <v>28</v>
      </c>
      <c r="G337" t="s">
        <v>35</v>
      </c>
      <c r="H337">
        <v>3489.85</v>
      </c>
      <c r="I337">
        <v>3842.5499999999902</v>
      </c>
      <c r="J337">
        <f>Table2[[#This Row],[Sales_Amount]]-(Table2[[#This Row],[Quantity_Sold]]*Table2[[#This Row],[Unit_Cost]])</f>
        <v>-90637.58</v>
      </c>
    </row>
    <row r="338" spans="1:10" x14ac:dyDescent="0.3">
      <c r="A338">
        <v>1017</v>
      </c>
      <c r="B338" s="1">
        <v>44977</v>
      </c>
      <c r="C338" t="s">
        <v>33</v>
      </c>
      <c r="D338" t="s">
        <v>15</v>
      </c>
      <c r="E338">
        <v>8189.57</v>
      </c>
      <c r="F338">
        <v>16</v>
      </c>
      <c r="G338" t="s">
        <v>16</v>
      </c>
      <c r="H338">
        <v>102.23</v>
      </c>
      <c r="I338">
        <v>167.12</v>
      </c>
      <c r="J338">
        <f>Table2[[#This Row],[Sales_Amount]]-(Table2[[#This Row],[Quantity_Sold]]*Table2[[#This Row],[Unit_Cost]])</f>
        <v>6553.8899999999994</v>
      </c>
    </row>
    <row r="339" spans="1:10" x14ac:dyDescent="0.3">
      <c r="A339">
        <v>1033</v>
      </c>
      <c r="B339" s="1">
        <v>45023</v>
      </c>
      <c r="C339" t="s">
        <v>14</v>
      </c>
      <c r="D339" t="s">
        <v>34</v>
      </c>
      <c r="E339">
        <v>5509.66</v>
      </c>
      <c r="F339">
        <v>4</v>
      </c>
      <c r="G339" t="s">
        <v>26</v>
      </c>
      <c r="H339">
        <v>2000.75</v>
      </c>
      <c r="I339">
        <v>2426.9899999999998</v>
      </c>
      <c r="J339">
        <f>Table2[[#This Row],[Sales_Amount]]-(Table2[[#This Row],[Quantity_Sold]]*Table2[[#This Row],[Unit_Cost]])</f>
        <v>-2493.34</v>
      </c>
    </row>
    <row r="340" spans="1:10" x14ac:dyDescent="0.3">
      <c r="A340">
        <v>1048</v>
      </c>
      <c r="B340" s="1">
        <v>45018</v>
      </c>
      <c r="C340" t="s">
        <v>24</v>
      </c>
      <c r="D340" t="s">
        <v>25</v>
      </c>
      <c r="E340">
        <v>9673.65</v>
      </c>
      <c r="F340">
        <v>45</v>
      </c>
      <c r="G340" t="s">
        <v>35</v>
      </c>
      <c r="H340">
        <v>4262.21</v>
      </c>
      <c r="I340">
        <v>4533.3100000000004</v>
      </c>
      <c r="J340">
        <f>Table2[[#This Row],[Sales_Amount]]-(Table2[[#This Row],[Quantity_Sold]]*Table2[[#This Row],[Unit_Cost]])</f>
        <v>-182125.80000000002</v>
      </c>
    </row>
    <row r="341" spans="1:10" x14ac:dyDescent="0.3">
      <c r="A341">
        <v>1076</v>
      </c>
      <c r="B341" s="1">
        <v>45190</v>
      </c>
      <c r="C341" t="s">
        <v>14</v>
      </c>
      <c r="D341" t="s">
        <v>15</v>
      </c>
      <c r="E341">
        <v>611.52</v>
      </c>
      <c r="F341">
        <v>26</v>
      </c>
      <c r="G341" t="s">
        <v>35</v>
      </c>
      <c r="H341">
        <v>1762</v>
      </c>
      <c r="I341">
        <v>2002.95</v>
      </c>
      <c r="J341">
        <f>Table2[[#This Row],[Sales_Amount]]-(Table2[[#This Row],[Quantity_Sold]]*Table2[[#This Row],[Unit_Cost]])</f>
        <v>-45200.480000000003</v>
      </c>
    </row>
    <row r="342" spans="1:10" x14ac:dyDescent="0.3">
      <c r="A342">
        <v>1059</v>
      </c>
      <c r="B342" s="1">
        <v>45217</v>
      </c>
      <c r="C342" t="s">
        <v>42</v>
      </c>
      <c r="D342" t="s">
        <v>15</v>
      </c>
      <c r="E342">
        <v>5097.4799999999996</v>
      </c>
      <c r="F342">
        <v>28</v>
      </c>
      <c r="G342" t="s">
        <v>35</v>
      </c>
      <c r="H342">
        <v>224.32</v>
      </c>
      <c r="I342">
        <v>715.06</v>
      </c>
      <c r="J342">
        <f>Table2[[#This Row],[Sales_Amount]]-(Table2[[#This Row],[Quantity_Sold]]*Table2[[#This Row],[Unit_Cost]])</f>
        <v>-1183.4800000000005</v>
      </c>
    </row>
    <row r="343" spans="1:10" x14ac:dyDescent="0.3">
      <c r="A343">
        <v>1086</v>
      </c>
      <c r="B343" s="1">
        <v>45022</v>
      </c>
      <c r="C343" t="s">
        <v>33</v>
      </c>
      <c r="D343" t="s">
        <v>21</v>
      </c>
      <c r="E343">
        <v>7212.69</v>
      </c>
      <c r="F343">
        <v>32</v>
      </c>
      <c r="G343" t="s">
        <v>35</v>
      </c>
      <c r="H343">
        <v>3743.59</v>
      </c>
      <c r="I343">
        <v>4116.38</v>
      </c>
      <c r="J343">
        <f>Table2[[#This Row],[Sales_Amount]]-(Table2[[#This Row],[Quantity_Sold]]*Table2[[#This Row],[Unit_Cost]])</f>
        <v>-112582.19</v>
      </c>
    </row>
    <row r="344" spans="1:10" x14ac:dyDescent="0.3">
      <c r="A344">
        <v>1022</v>
      </c>
      <c r="B344" s="1">
        <v>45014</v>
      </c>
      <c r="C344" t="s">
        <v>14</v>
      </c>
      <c r="D344" t="s">
        <v>21</v>
      </c>
      <c r="E344">
        <v>8640.14</v>
      </c>
      <c r="F344">
        <v>45</v>
      </c>
      <c r="G344" t="s">
        <v>16</v>
      </c>
      <c r="H344">
        <v>4020.09</v>
      </c>
      <c r="I344">
        <v>4087.91</v>
      </c>
      <c r="J344">
        <f>Table2[[#This Row],[Sales_Amount]]-(Table2[[#This Row],[Quantity_Sold]]*Table2[[#This Row],[Unit_Cost]])</f>
        <v>-172263.91000000003</v>
      </c>
    </row>
    <row r="345" spans="1:10" x14ac:dyDescent="0.3">
      <c r="A345">
        <v>1030</v>
      </c>
      <c r="B345" s="1">
        <v>45004</v>
      </c>
      <c r="C345" t="s">
        <v>24</v>
      </c>
      <c r="D345" t="s">
        <v>34</v>
      </c>
      <c r="E345">
        <v>1874.63</v>
      </c>
      <c r="F345">
        <v>2</v>
      </c>
      <c r="G345" t="s">
        <v>29</v>
      </c>
      <c r="H345">
        <v>844.94</v>
      </c>
      <c r="I345">
        <v>1225.6400000000001</v>
      </c>
      <c r="J345">
        <f>Table2[[#This Row],[Sales_Amount]]-(Table2[[#This Row],[Quantity_Sold]]*Table2[[#This Row],[Unit_Cost]])</f>
        <v>184.75</v>
      </c>
    </row>
    <row r="346" spans="1:10" x14ac:dyDescent="0.3">
      <c r="A346">
        <v>1038</v>
      </c>
      <c r="B346" s="1">
        <v>45214</v>
      </c>
      <c r="C346" t="s">
        <v>24</v>
      </c>
      <c r="D346" t="s">
        <v>21</v>
      </c>
      <c r="E346">
        <v>8020.03</v>
      </c>
      <c r="F346">
        <v>31</v>
      </c>
      <c r="G346" t="s">
        <v>29</v>
      </c>
      <c r="H346">
        <v>2709.84</v>
      </c>
      <c r="I346">
        <v>2766.51</v>
      </c>
      <c r="J346">
        <f>Table2[[#This Row],[Sales_Amount]]-(Table2[[#This Row],[Quantity_Sold]]*Table2[[#This Row],[Unit_Cost]])</f>
        <v>-75985.010000000009</v>
      </c>
    </row>
    <row r="347" spans="1:10" x14ac:dyDescent="0.3">
      <c r="A347">
        <v>1051</v>
      </c>
      <c r="B347" s="1">
        <v>45046</v>
      </c>
      <c r="C347" t="s">
        <v>14</v>
      </c>
      <c r="D347" t="s">
        <v>21</v>
      </c>
      <c r="E347">
        <v>5571.8</v>
      </c>
      <c r="F347">
        <v>3</v>
      </c>
      <c r="G347" t="s">
        <v>26</v>
      </c>
      <c r="H347">
        <v>1000.18</v>
      </c>
      <c r="I347">
        <v>1023.64</v>
      </c>
      <c r="J347">
        <f>Table2[[#This Row],[Sales_Amount]]-(Table2[[#This Row],[Quantity_Sold]]*Table2[[#This Row],[Unit_Cost]])</f>
        <v>2571.2600000000002</v>
      </c>
    </row>
    <row r="348" spans="1:10" x14ac:dyDescent="0.3">
      <c r="A348">
        <v>1054</v>
      </c>
      <c r="B348" s="1">
        <v>45228</v>
      </c>
      <c r="C348" t="s">
        <v>24</v>
      </c>
      <c r="D348" t="s">
        <v>21</v>
      </c>
      <c r="E348">
        <v>4025.88</v>
      </c>
      <c r="F348">
        <v>8</v>
      </c>
      <c r="G348" t="s">
        <v>29</v>
      </c>
      <c r="H348">
        <v>3610.21</v>
      </c>
      <c r="I348">
        <v>3817.99</v>
      </c>
      <c r="J348">
        <f>Table2[[#This Row],[Sales_Amount]]-(Table2[[#This Row],[Quantity_Sold]]*Table2[[#This Row],[Unit_Cost]])</f>
        <v>-24855.8</v>
      </c>
    </row>
    <row r="349" spans="1:10" x14ac:dyDescent="0.3">
      <c r="A349">
        <v>1008</v>
      </c>
      <c r="B349" s="1">
        <v>45091</v>
      </c>
      <c r="C349" t="s">
        <v>38</v>
      </c>
      <c r="D349" t="s">
        <v>15</v>
      </c>
      <c r="E349">
        <v>1403.98</v>
      </c>
      <c r="F349">
        <v>24</v>
      </c>
      <c r="G349" t="s">
        <v>29</v>
      </c>
      <c r="H349">
        <v>1394.17</v>
      </c>
      <c r="I349">
        <v>1891.02</v>
      </c>
      <c r="J349">
        <f>Table2[[#This Row],[Sales_Amount]]-(Table2[[#This Row],[Quantity_Sold]]*Table2[[#This Row],[Unit_Cost]])</f>
        <v>-32056.100000000002</v>
      </c>
    </row>
    <row r="350" spans="1:10" x14ac:dyDescent="0.3">
      <c r="A350">
        <v>1027</v>
      </c>
      <c r="B350" s="1">
        <v>45108</v>
      </c>
      <c r="C350" t="s">
        <v>38</v>
      </c>
      <c r="D350" t="s">
        <v>15</v>
      </c>
      <c r="E350">
        <v>8666.43</v>
      </c>
      <c r="F350">
        <v>15</v>
      </c>
      <c r="G350" t="s">
        <v>29</v>
      </c>
      <c r="H350">
        <v>1615.26</v>
      </c>
      <c r="I350">
        <v>1710.95</v>
      </c>
      <c r="J350">
        <f>Table2[[#This Row],[Sales_Amount]]-(Table2[[#This Row],[Quantity_Sold]]*Table2[[#This Row],[Unit_Cost]])</f>
        <v>-15562.470000000001</v>
      </c>
    </row>
    <row r="351" spans="1:10" x14ac:dyDescent="0.3">
      <c r="A351">
        <v>1027</v>
      </c>
      <c r="B351" s="1">
        <v>45149</v>
      </c>
      <c r="C351" t="s">
        <v>38</v>
      </c>
      <c r="D351" t="s">
        <v>15</v>
      </c>
      <c r="E351">
        <v>1657</v>
      </c>
      <c r="F351">
        <v>43</v>
      </c>
      <c r="G351" t="s">
        <v>29</v>
      </c>
      <c r="H351">
        <v>4232.6099999999997</v>
      </c>
      <c r="I351">
        <v>4572.21</v>
      </c>
      <c r="J351">
        <f>Table2[[#This Row],[Sales_Amount]]-(Table2[[#This Row],[Quantity_Sold]]*Table2[[#This Row],[Unit_Cost]])</f>
        <v>-180345.22999999998</v>
      </c>
    </row>
    <row r="352" spans="1:10" x14ac:dyDescent="0.3">
      <c r="A352">
        <v>1098</v>
      </c>
      <c r="B352" s="1">
        <v>45237</v>
      </c>
      <c r="C352" t="s">
        <v>42</v>
      </c>
      <c r="D352" t="s">
        <v>21</v>
      </c>
      <c r="E352">
        <v>3166.9</v>
      </c>
      <c r="F352">
        <v>31</v>
      </c>
      <c r="G352" t="s">
        <v>26</v>
      </c>
      <c r="H352">
        <v>2407.8000000000002</v>
      </c>
      <c r="I352">
        <v>2502.7600000000002</v>
      </c>
      <c r="J352">
        <f>Table2[[#This Row],[Sales_Amount]]-(Table2[[#This Row],[Quantity_Sold]]*Table2[[#This Row],[Unit_Cost]])</f>
        <v>-71474.900000000009</v>
      </c>
    </row>
    <row r="353" spans="1:10" x14ac:dyDescent="0.3">
      <c r="A353">
        <v>1021</v>
      </c>
      <c r="B353" s="1">
        <v>44933</v>
      </c>
      <c r="C353" t="s">
        <v>14</v>
      </c>
      <c r="D353" t="s">
        <v>15</v>
      </c>
      <c r="E353">
        <v>2971.45</v>
      </c>
      <c r="F353">
        <v>9</v>
      </c>
      <c r="G353" t="s">
        <v>16</v>
      </c>
      <c r="H353">
        <v>3365.28</v>
      </c>
      <c r="I353">
        <v>3730.43</v>
      </c>
      <c r="J353">
        <f>Table2[[#This Row],[Sales_Amount]]-(Table2[[#This Row],[Quantity_Sold]]*Table2[[#This Row],[Unit_Cost]])</f>
        <v>-27316.07</v>
      </c>
    </row>
    <row r="354" spans="1:10" x14ac:dyDescent="0.3">
      <c r="A354">
        <v>1030</v>
      </c>
      <c r="B354" s="1">
        <v>45256</v>
      </c>
      <c r="C354" t="s">
        <v>42</v>
      </c>
      <c r="D354" t="s">
        <v>21</v>
      </c>
      <c r="E354">
        <v>8727</v>
      </c>
      <c r="F354">
        <v>39</v>
      </c>
      <c r="G354" t="s">
        <v>35</v>
      </c>
      <c r="H354">
        <v>2041.75</v>
      </c>
      <c r="I354">
        <v>2299.37</v>
      </c>
      <c r="J354">
        <f>Table2[[#This Row],[Sales_Amount]]-(Table2[[#This Row],[Quantity_Sold]]*Table2[[#This Row],[Unit_Cost]])</f>
        <v>-70901.25</v>
      </c>
    </row>
    <row r="355" spans="1:10" x14ac:dyDescent="0.3">
      <c r="A355">
        <v>1097</v>
      </c>
      <c r="B355" s="1">
        <v>45189</v>
      </c>
      <c r="C355" t="s">
        <v>24</v>
      </c>
      <c r="D355" t="s">
        <v>15</v>
      </c>
      <c r="E355">
        <v>6759.76</v>
      </c>
      <c r="F355">
        <v>45</v>
      </c>
      <c r="G355" t="s">
        <v>29</v>
      </c>
      <c r="H355">
        <v>1525.13</v>
      </c>
      <c r="I355">
        <v>1868.32</v>
      </c>
      <c r="J355">
        <f>Table2[[#This Row],[Sales_Amount]]-(Table2[[#This Row],[Quantity_Sold]]*Table2[[#This Row],[Unit_Cost]])</f>
        <v>-61871.090000000004</v>
      </c>
    </row>
    <row r="356" spans="1:10" x14ac:dyDescent="0.3">
      <c r="A356">
        <v>1028</v>
      </c>
      <c r="B356" s="1">
        <v>45087</v>
      </c>
      <c r="C356" t="s">
        <v>42</v>
      </c>
      <c r="D356" t="s">
        <v>15</v>
      </c>
      <c r="E356">
        <v>7987.15</v>
      </c>
      <c r="F356">
        <v>2</v>
      </c>
      <c r="G356" t="s">
        <v>16</v>
      </c>
      <c r="H356">
        <v>3146.12</v>
      </c>
      <c r="I356">
        <v>3255.5299999999902</v>
      </c>
      <c r="J356">
        <f>Table2[[#This Row],[Sales_Amount]]-(Table2[[#This Row],[Quantity_Sold]]*Table2[[#This Row],[Unit_Cost]])</f>
        <v>1694.9099999999999</v>
      </c>
    </row>
    <row r="357" spans="1:10" x14ac:dyDescent="0.3">
      <c r="A357">
        <v>1064</v>
      </c>
      <c r="B357" s="1">
        <v>45077</v>
      </c>
      <c r="C357" t="s">
        <v>24</v>
      </c>
      <c r="D357" t="s">
        <v>25</v>
      </c>
      <c r="E357">
        <v>2579.63</v>
      </c>
      <c r="F357">
        <v>8</v>
      </c>
      <c r="G357" t="s">
        <v>29</v>
      </c>
      <c r="H357">
        <v>816.54</v>
      </c>
      <c r="I357">
        <v>1191.9000000000001</v>
      </c>
      <c r="J357">
        <f>Table2[[#This Row],[Sales_Amount]]-(Table2[[#This Row],[Quantity_Sold]]*Table2[[#This Row],[Unit_Cost]])</f>
        <v>-3952.6899999999996</v>
      </c>
    </row>
    <row r="358" spans="1:10" x14ac:dyDescent="0.3">
      <c r="A358">
        <v>1097</v>
      </c>
      <c r="B358" s="1">
        <v>45011</v>
      </c>
      <c r="C358" t="s">
        <v>24</v>
      </c>
      <c r="D358" t="s">
        <v>34</v>
      </c>
      <c r="E358">
        <v>6286.25</v>
      </c>
      <c r="F358">
        <v>7</v>
      </c>
      <c r="G358" t="s">
        <v>29</v>
      </c>
      <c r="H358">
        <v>1896.35</v>
      </c>
      <c r="I358">
        <v>2394.1999999999998</v>
      </c>
      <c r="J358">
        <f>Table2[[#This Row],[Sales_Amount]]-(Table2[[#This Row],[Quantity_Sold]]*Table2[[#This Row],[Unit_Cost]])</f>
        <v>-6988.1999999999989</v>
      </c>
    </row>
    <row r="359" spans="1:10" x14ac:dyDescent="0.3">
      <c r="A359">
        <v>1069</v>
      </c>
      <c r="B359" s="1">
        <v>45073</v>
      </c>
      <c r="C359" t="s">
        <v>33</v>
      </c>
      <c r="D359" t="s">
        <v>21</v>
      </c>
      <c r="E359">
        <v>5760.29</v>
      </c>
      <c r="F359">
        <v>44</v>
      </c>
      <c r="G359" t="s">
        <v>35</v>
      </c>
      <c r="H359">
        <v>1084.73</v>
      </c>
      <c r="I359">
        <v>1420.9</v>
      </c>
      <c r="J359">
        <f>Table2[[#This Row],[Sales_Amount]]-(Table2[[#This Row],[Quantity_Sold]]*Table2[[#This Row],[Unit_Cost]])</f>
        <v>-41967.83</v>
      </c>
    </row>
    <row r="360" spans="1:10" x14ac:dyDescent="0.3">
      <c r="A360">
        <v>1061</v>
      </c>
      <c r="B360" s="1">
        <v>45038</v>
      </c>
      <c r="C360" t="s">
        <v>38</v>
      </c>
      <c r="D360" t="s">
        <v>25</v>
      </c>
      <c r="E360">
        <v>8345.02</v>
      </c>
      <c r="F360">
        <v>39</v>
      </c>
      <c r="G360" t="s">
        <v>35</v>
      </c>
      <c r="H360">
        <v>3494.19</v>
      </c>
      <c r="I360">
        <v>3746</v>
      </c>
      <c r="J360">
        <f>Table2[[#This Row],[Sales_Amount]]-(Table2[[#This Row],[Quantity_Sold]]*Table2[[#This Row],[Unit_Cost]])</f>
        <v>-127928.39</v>
      </c>
    </row>
    <row r="361" spans="1:10" x14ac:dyDescent="0.3">
      <c r="A361">
        <v>1048</v>
      </c>
      <c r="B361" s="1">
        <v>44962</v>
      </c>
      <c r="C361" t="s">
        <v>24</v>
      </c>
      <c r="D361" t="s">
        <v>15</v>
      </c>
      <c r="E361">
        <v>9070.26</v>
      </c>
      <c r="F361">
        <v>42</v>
      </c>
      <c r="G361" t="s">
        <v>35</v>
      </c>
      <c r="H361">
        <v>4723.83</v>
      </c>
      <c r="I361">
        <v>5186.1899999999996</v>
      </c>
      <c r="J361">
        <f>Table2[[#This Row],[Sales_Amount]]-(Table2[[#This Row],[Quantity_Sold]]*Table2[[#This Row],[Unit_Cost]])</f>
        <v>-189330.59999999998</v>
      </c>
    </row>
    <row r="362" spans="1:10" x14ac:dyDescent="0.3">
      <c r="A362">
        <v>1019</v>
      </c>
      <c r="B362" s="1">
        <v>45211</v>
      </c>
      <c r="C362" t="s">
        <v>33</v>
      </c>
      <c r="D362" t="s">
        <v>21</v>
      </c>
      <c r="E362">
        <v>220.35</v>
      </c>
      <c r="F362">
        <v>16</v>
      </c>
      <c r="G362" t="s">
        <v>29</v>
      </c>
      <c r="H362">
        <v>4977.78</v>
      </c>
      <c r="I362">
        <v>4995.55</v>
      </c>
      <c r="J362">
        <f>Table2[[#This Row],[Sales_Amount]]-(Table2[[#This Row],[Quantity_Sold]]*Table2[[#This Row],[Unit_Cost]])</f>
        <v>-79424.12999999999</v>
      </c>
    </row>
    <row r="363" spans="1:10" x14ac:dyDescent="0.3">
      <c r="A363">
        <v>1004</v>
      </c>
      <c r="B363" s="1">
        <v>45114</v>
      </c>
      <c r="C363" t="s">
        <v>38</v>
      </c>
      <c r="D363" t="s">
        <v>15</v>
      </c>
      <c r="E363">
        <v>6772.8</v>
      </c>
      <c r="F363">
        <v>35</v>
      </c>
      <c r="G363" t="s">
        <v>29</v>
      </c>
      <c r="H363">
        <v>2278.87</v>
      </c>
      <c r="I363">
        <v>2646.5299999999902</v>
      </c>
      <c r="J363">
        <f>Table2[[#This Row],[Sales_Amount]]-(Table2[[#This Row],[Quantity_Sold]]*Table2[[#This Row],[Unit_Cost]])</f>
        <v>-72987.649999999994</v>
      </c>
    </row>
    <row r="364" spans="1:10" x14ac:dyDescent="0.3">
      <c r="A364">
        <v>1035</v>
      </c>
      <c r="B364" s="1">
        <v>45008</v>
      </c>
      <c r="C364" t="s">
        <v>24</v>
      </c>
      <c r="D364" t="s">
        <v>34</v>
      </c>
      <c r="E364">
        <v>613.16999999999996</v>
      </c>
      <c r="F364">
        <v>30</v>
      </c>
      <c r="G364" t="s">
        <v>29</v>
      </c>
      <c r="H364">
        <v>1300.03</v>
      </c>
      <c r="I364">
        <v>1745.52</v>
      </c>
      <c r="J364">
        <f>Table2[[#This Row],[Sales_Amount]]-(Table2[[#This Row],[Quantity_Sold]]*Table2[[#This Row],[Unit_Cost]])</f>
        <v>-38387.730000000003</v>
      </c>
    </row>
    <row r="365" spans="1:10" x14ac:dyDescent="0.3">
      <c r="A365">
        <v>1064</v>
      </c>
      <c r="B365" s="1">
        <v>44928</v>
      </c>
      <c r="C365" t="s">
        <v>24</v>
      </c>
      <c r="D365" t="s">
        <v>25</v>
      </c>
      <c r="E365">
        <v>5533.7</v>
      </c>
      <c r="F365">
        <v>10</v>
      </c>
      <c r="G365" t="s">
        <v>35</v>
      </c>
      <c r="H365">
        <v>2242.0100000000002</v>
      </c>
      <c r="I365">
        <v>2282.23</v>
      </c>
      <c r="J365">
        <f>Table2[[#This Row],[Sales_Amount]]-(Table2[[#This Row],[Quantity_Sold]]*Table2[[#This Row],[Unit_Cost]])</f>
        <v>-16886.400000000001</v>
      </c>
    </row>
    <row r="366" spans="1:10" x14ac:dyDescent="0.3">
      <c r="A366">
        <v>1049</v>
      </c>
      <c r="B366" s="1">
        <v>45229</v>
      </c>
      <c r="C366" t="s">
        <v>42</v>
      </c>
      <c r="D366" t="s">
        <v>34</v>
      </c>
      <c r="E366">
        <v>2947.56</v>
      </c>
      <c r="F366">
        <v>38</v>
      </c>
      <c r="G366" t="s">
        <v>26</v>
      </c>
      <c r="H366">
        <v>4243.9799999999996</v>
      </c>
      <c r="I366">
        <v>4474.5099999999902</v>
      </c>
      <c r="J366">
        <f>Table2[[#This Row],[Sales_Amount]]-(Table2[[#This Row],[Quantity_Sold]]*Table2[[#This Row],[Unit_Cost]])</f>
        <v>-158323.68</v>
      </c>
    </row>
    <row r="367" spans="1:10" x14ac:dyDescent="0.3">
      <c r="A367">
        <v>1017</v>
      </c>
      <c r="B367" s="1">
        <v>45123</v>
      </c>
      <c r="C367" t="s">
        <v>42</v>
      </c>
      <c r="D367" t="s">
        <v>25</v>
      </c>
      <c r="E367">
        <v>3137.09</v>
      </c>
      <c r="F367">
        <v>18</v>
      </c>
      <c r="G367" t="s">
        <v>16</v>
      </c>
      <c r="H367">
        <v>1069.73</v>
      </c>
      <c r="I367">
        <v>1180.04</v>
      </c>
      <c r="J367">
        <f>Table2[[#This Row],[Sales_Amount]]-(Table2[[#This Row],[Quantity_Sold]]*Table2[[#This Row],[Unit_Cost]])</f>
        <v>-16118.05</v>
      </c>
    </row>
    <row r="368" spans="1:10" x14ac:dyDescent="0.3">
      <c r="A368">
        <v>1044</v>
      </c>
      <c r="B368" s="1">
        <v>44937</v>
      </c>
      <c r="C368" t="s">
        <v>38</v>
      </c>
      <c r="D368" t="s">
        <v>15</v>
      </c>
      <c r="E368">
        <v>3594.29</v>
      </c>
      <c r="F368">
        <v>5</v>
      </c>
      <c r="G368" t="s">
        <v>26</v>
      </c>
      <c r="H368">
        <v>4762.87</v>
      </c>
      <c r="I368">
        <v>5050.46</v>
      </c>
      <c r="J368">
        <f>Table2[[#This Row],[Sales_Amount]]-(Table2[[#This Row],[Quantity_Sold]]*Table2[[#This Row],[Unit_Cost]])</f>
        <v>-20220.059999999998</v>
      </c>
    </row>
    <row r="369" spans="1:10" x14ac:dyDescent="0.3">
      <c r="A369">
        <v>1092</v>
      </c>
      <c r="B369" s="1">
        <v>45160</v>
      </c>
      <c r="C369" t="s">
        <v>24</v>
      </c>
      <c r="D369" t="s">
        <v>34</v>
      </c>
      <c r="E369">
        <v>6250.8</v>
      </c>
      <c r="F369">
        <v>29</v>
      </c>
      <c r="G369" t="s">
        <v>29</v>
      </c>
      <c r="H369">
        <v>1742.24</v>
      </c>
      <c r="I369">
        <v>2070.52</v>
      </c>
      <c r="J369">
        <f>Table2[[#This Row],[Sales_Amount]]-(Table2[[#This Row],[Quantity_Sold]]*Table2[[#This Row],[Unit_Cost]])</f>
        <v>-44274.159999999996</v>
      </c>
    </row>
    <row r="370" spans="1:10" x14ac:dyDescent="0.3">
      <c r="A370">
        <v>1030</v>
      </c>
      <c r="B370" s="1">
        <v>45121</v>
      </c>
      <c r="C370" t="s">
        <v>14</v>
      </c>
      <c r="D370" t="s">
        <v>34</v>
      </c>
      <c r="E370">
        <v>3407.09</v>
      </c>
      <c r="F370">
        <v>39</v>
      </c>
      <c r="G370" t="s">
        <v>29</v>
      </c>
      <c r="H370">
        <v>4929.7299999999996</v>
      </c>
      <c r="I370">
        <v>5088.0199999999904</v>
      </c>
      <c r="J370">
        <f>Table2[[#This Row],[Sales_Amount]]-(Table2[[#This Row],[Quantity_Sold]]*Table2[[#This Row],[Unit_Cost]])</f>
        <v>-188852.37999999998</v>
      </c>
    </row>
    <row r="371" spans="1:10" x14ac:dyDescent="0.3">
      <c r="A371">
        <v>1093</v>
      </c>
      <c r="B371" s="1">
        <v>45045</v>
      </c>
      <c r="C371" t="s">
        <v>42</v>
      </c>
      <c r="D371" t="s">
        <v>15</v>
      </c>
      <c r="E371">
        <v>7353.72</v>
      </c>
      <c r="F371">
        <v>34</v>
      </c>
      <c r="G371" t="s">
        <v>26</v>
      </c>
      <c r="H371">
        <v>4201.1099999999997</v>
      </c>
      <c r="I371">
        <v>4436.5</v>
      </c>
      <c r="J371">
        <f>Table2[[#This Row],[Sales_Amount]]-(Table2[[#This Row],[Quantity_Sold]]*Table2[[#This Row],[Unit_Cost]])</f>
        <v>-135484.01999999999</v>
      </c>
    </row>
    <row r="372" spans="1:10" x14ac:dyDescent="0.3">
      <c r="A372">
        <v>1046</v>
      </c>
      <c r="B372" s="1">
        <v>44946</v>
      </c>
      <c r="C372" t="s">
        <v>38</v>
      </c>
      <c r="D372" t="s">
        <v>34</v>
      </c>
      <c r="E372">
        <v>4104.82</v>
      </c>
      <c r="F372">
        <v>43</v>
      </c>
      <c r="G372" t="s">
        <v>29</v>
      </c>
      <c r="H372">
        <v>4052.42</v>
      </c>
      <c r="I372">
        <v>4199.3</v>
      </c>
      <c r="J372">
        <f>Table2[[#This Row],[Sales_Amount]]-(Table2[[#This Row],[Quantity_Sold]]*Table2[[#This Row],[Unit_Cost]])</f>
        <v>-170149.24</v>
      </c>
    </row>
    <row r="373" spans="1:10" x14ac:dyDescent="0.3">
      <c r="A373">
        <v>1006</v>
      </c>
      <c r="B373" s="1">
        <v>45187</v>
      </c>
      <c r="C373" t="s">
        <v>24</v>
      </c>
      <c r="D373" t="s">
        <v>21</v>
      </c>
      <c r="E373">
        <v>776.7</v>
      </c>
      <c r="F373">
        <v>45</v>
      </c>
      <c r="G373" t="s">
        <v>16</v>
      </c>
      <c r="H373">
        <v>1623.63</v>
      </c>
      <c r="I373">
        <v>1814.63</v>
      </c>
      <c r="J373">
        <f>Table2[[#This Row],[Sales_Amount]]-(Table2[[#This Row],[Quantity_Sold]]*Table2[[#This Row],[Unit_Cost]])</f>
        <v>-72286.650000000009</v>
      </c>
    </row>
    <row r="374" spans="1:10" x14ac:dyDescent="0.3">
      <c r="A374">
        <v>1099</v>
      </c>
      <c r="B374" s="1">
        <v>45219</v>
      </c>
      <c r="C374" t="s">
        <v>24</v>
      </c>
      <c r="D374" t="s">
        <v>25</v>
      </c>
      <c r="E374">
        <v>7859.22</v>
      </c>
      <c r="F374">
        <v>23</v>
      </c>
      <c r="G374" t="s">
        <v>29</v>
      </c>
      <c r="H374">
        <v>93.45</v>
      </c>
      <c r="I374">
        <v>181.62</v>
      </c>
      <c r="J374">
        <f>Table2[[#This Row],[Sales_Amount]]-(Table2[[#This Row],[Quantity_Sold]]*Table2[[#This Row],[Unit_Cost]])</f>
        <v>5709.8700000000008</v>
      </c>
    </row>
    <row r="375" spans="1:10" x14ac:dyDescent="0.3">
      <c r="A375">
        <v>1037</v>
      </c>
      <c r="B375" s="1">
        <v>45182</v>
      </c>
      <c r="C375" t="s">
        <v>14</v>
      </c>
      <c r="D375" t="s">
        <v>25</v>
      </c>
      <c r="E375">
        <v>2929.01</v>
      </c>
      <c r="F375">
        <v>5</v>
      </c>
      <c r="G375" t="s">
        <v>16</v>
      </c>
      <c r="H375">
        <v>1941.56</v>
      </c>
      <c r="I375">
        <v>2385.48</v>
      </c>
      <c r="J375">
        <f>Table2[[#This Row],[Sales_Amount]]-(Table2[[#This Row],[Quantity_Sold]]*Table2[[#This Row],[Unit_Cost]])</f>
        <v>-6778.7899999999991</v>
      </c>
    </row>
    <row r="376" spans="1:10" x14ac:dyDescent="0.3">
      <c r="A376">
        <v>1024</v>
      </c>
      <c r="B376" s="1">
        <v>45148</v>
      </c>
      <c r="C376" t="s">
        <v>38</v>
      </c>
      <c r="D376" t="s">
        <v>25</v>
      </c>
      <c r="E376">
        <v>4384.3900000000003</v>
      </c>
      <c r="F376">
        <v>30</v>
      </c>
      <c r="G376" t="s">
        <v>26</v>
      </c>
      <c r="H376">
        <v>1543.96</v>
      </c>
      <c r="I376">
        <v>1558.87</v>
      </c>
      <c r="J376">
        <f>Table2[[#This Row],[Sales_Amount]]-(Table2[[#This Row],[Quantity_Sold]]*Table2[[#This Row],[Unit_Cost]])</f>
        <v>-41934.410000000003</v>
      </c>
    </row>
    <row r="377" spans="1:10" x14ac:dyDescent="0.3">
      <c r="A377">
        <v>1093</v>
      </c>
      <c r="B377" s="1">
        <v>45152</v>
      </c>
      <c r="C377" t="s">
        <v>24</v>
      </c>
      <c r="D377" t="s">
        <v>21</v>
      </c>
      <c r="E377">
        <v>6885.89</v>
      </c>
      <c r="F377">
        <v>6</v>
      </c>
      <c r="G377" t="s">
        <v>26</v>
      </c>
      <c r="H377">
        <v>235.12</v>
      </c>
      <c r="I377">
        <v>677.5</v>
      </c>
      <c r="J377">
        <f>Table2[[#This Row],[Sales_Amount]]-(Table2[[#This Row],[Quantity_Sold]]*Table2[[#This Row],[Unit_Cost]])</f>
        <v>5475.17</v>
      </c>
    </row>
    <row r="378" spans="1:10" x14ac:dyDescent="0.3">
      <c r="A378">
        <v>1046</v>
      </c>
      <c r="B378" s="1">
        <v>44979</v>
      </c>
      <c r="C378" t="s">
        <v>42</v>
      </c>
      <c r="D378" t="s">
        <v>25</v>
      </c>
      <c r="E378">
        <v>3391.32</v>
      </c>
      <c r="F378">
        <v>46</v>
      </c>
      <c r="G378" t="s">
        <v>29</v>
      </c>
      <c r="H378">
        <v>2551.56</v>
      </c>
      <c r="I378">
        <v>2841.68</v>
      </c>
      <c r="J378">
        <f>Table2[[#This Row],[Sales_Amount]]-(Table2[[#This Row],[Quantity_Sold]]*Table2[[#This Row],[Unit_Cost]])</f>
        <v>-113980.43999999999</v>
      </c>
    </row>
    <row r="379" spans="1:10" x14ac:dyDescent="0.3">
      <c r="A379">
        <v>1053</v>
      </c>
      <c r="B379" s="1">
        <v>45281</v>
      </c>
      <c r="C379" t="s">
        <v>14</v>
      </c>
      <c r="D379" t="s">
        <v>15</v>
      </c>
      <c r="E379">
        <v>660.2</v>
      </c>
      <c r="F379">
        <v>44</v>
      </c>
      <c r="G379" t="s">
        <v>16</v>
      </c>
      <c r="H379">
        <v>2045</v>
      </c>
      <c r="I379">
        <v>2217.5100000000002</v>
      </c>
      <c r="J379">
        <f>Table2[[#This Row],[Sales_Amount]]-(Table2[[#This Row],[Quantity_Sold]]*Table2[[#This Row],[Unit_Cost]])</f>
        <v>-89319.8</v>
      </c>
    </row>
    <row r="380" spans="1:10" x14ac:dyDescent="0.3">
      <c r="A380">
        <v>1095</v>
      </c>
      <c r="B380" s="1">
        <v>45268</v>
      </c>
      <c r="C380" t="s">
        <v>38</v>
      </c>
      <c r="D380" t="s">
        <v>34</v>
      </c>
      <c r="E380">
        <v>3801.82</v>
      </c>
      <c r="F380">
        <v>4</v>
      </c>
      <c r="G380" t="s">
        <v>29</v>
      </c>
      <c r="H380">
        <v>3191.05</v>
      </c>
      <c r="I380">
        <v>3555.35</v>
      </c>
      <c r="J380">
        <f>Table2[[#This Row],[Sales_Amount]]-(Table2[[#This Row],[Quantity_Sold]]*Table2[[#This Row],[Unit_Cost]])</f>
        <v>-8962.380000000001</v>
      </c>
    </row>
    <row r="381" spans="1:10" x14ac:dyDescent="0.3">
      <c r="A381">
        <v>1099</v>
      </c>
      <c r="B381" s="1">
        <v>45290</v>
      </c>
      <c r="C381" t="s">
        <v>14</v>
      </c>
      <c r="D381" t="s">
        <v>21</v>
      </c>
      <c r="E381">
        <v>9450.0400000000009</v>
      </c>
      <c r="F381">
        <v>29</v>
      </c>
      <c r="G381" t="s">
        <v>35</v>
      </c>
      <c r="H381">
        <v>3124.87</v>
      </c>
      <c r="I381">
        <v>3383.67</v>
      </c>
      <c r="J381">
        <f>Table2[[#This Row],[Sales_Amount]]-(Table2[[#This Row],[Quantity_Sold]]*Table2[[#This Row],[Unit_Cost]])</f>
        <v>-81171.19</v>
      </c>
    </row>
    <row r="382" spans="1:10" x14ac:dyDescent="0.3">
      <c r="A382">
        <v>1060</v>
      </c>
      <c r="B382" s="1">
        <v>45206</v>
      </c>
      <c r="C382" t="s">
        <v>42</v>
      </c>
      <c r="D382" t="s">
        <v>25</v>
      </c>
      <c r="E382">
        <v>6453.17</v>
      </c>
      <c r="F382">
        <v>23</v>
      </c>
      <c r="G382" t="s">
        <v>35</v>
      </c>
      <c r="H382">
        <v>647.70000000000005</v>
      </c>
      <c r="I382">
        <v>902.26</v>
      </c>
      <c r="J382">
        <f>Table2[[#This Row],[Sales_Amount]]-(Table2[[#This Row],[Quantity_Sold]]*Table2[[#This Row],[Unit_Cost]])</f>
        <v>-8443.93</v>
      </c>
    </row>
    <row r="383" spans="1:10" x14ac:dyDescent="0.3">
      <c r="A383">
        <v>1097</v>
      </c>
      <c r="B383" s="1">
        <v>45007</v>
      </c>
      <c r="C383" t="s">
        <v>38</v>
      </c>
      <c r="D383" t="s">
        <v>15</v>
      </c>
      <c r="E383">
        <v>6747.64</v>
      </c>
      <c r="F383">
        <v>6</v>
      </c>
      <c r="G383" t="s">
        <v>35</v>
      </c>
      <c r="H383">
        <v>4885.9799999999996</v>
      </c>
      <c r="I383">
        <v>4949.95</v>
      </c>
      <c r="J383">
        <f>Table2[[#This Row],[Sales_Amount]]-(Table2[[#This Row],[Quantity_Sold]]*Table2[[#This Row],[Unit_Cost]])</f>
        <v>-22568.239999999998</v>
      </c>
    </row>
    <row r="384" spans="1:10" x14ac:dyDescent="0.3">
      <c r="A384">
        <v>1063</v>
      </c>
      <c r="B384" s="1">
        <v>45128</v>
      </c>
      <c r="C384" t="s">
        <v>14</v>
      </c>
      <c r="D384" t="s">
        <v>34</v>
      </c>
      <c r="E384">
        <v>6359.59</v>
      </c>
      <c r="F384">
        <v>32</v>
      </c>
      <c r="G384" t="s">
        <v>35</v>
      </c>
      <c r="H384">
        <v>975.31</v>
      </c>
      <c r="I384">
        <v>1176.17</v>
      </c>
      <c r="J384">
        <f>Table2[[#This Row],[Sales_Amount]]-(Table2[[#This Row],[Quantity_Sold]]*Table2[[#This Row],[Unit_Cost]])</f>
        <v>-24850.329999999998</v>
      </c>
    </row>
    <row r="385" spans="1:10" x14ac:dyDescent="0.3">
      <c r="A385">
        <v>1085</v>
      </c>
      <c r="B385" s="1">
        <v>45084</v>
      </c>
      <c r="C385" t="s">
        <v>33</v>
      </c>
      <c r="D385" t="s">
        <v>34</v>
      </c>
      <c r="E385">
        <v>2070.02</v>
      </c>
      <c r="F385">
        <v>42</v>
      </c>
      <c r="G385" t="s">
        <v>29</v>
      </c>
      <c r="H385">
        <v>2254.11</v>
      </c>
      <c r="I385">
        <v>2382.23</v>
      </c>
      <c r="J385">
        <f>Table2[[#This Row],[Sales_Amount]]-(Table2[[#This Row],[Quantity_Sold]]*Table2[[#This Row],[Unit_Cost]])</f>
        <v>-92602.6</v>
      </c>
    </row>
    <row r="386" spans="1:10" x14ac:dyDescent="0.3">
      <c r="A386">
        <v>1032</v>
      </c>
      <c r="B386" s="1">
        <v>45046</v>
      </c>
      <c r="C386" t="s">
        <v>42</v>
      </c>
      <c r="D386" t="s">
        <v>21</v>
      </c>
      <c r="E386">
        <v>4241.51</v>
      </c>
      <c r="F386">
        <v>18</v>
      </c>
      <c r="G386" t="s">
        <v>35</v>
      </c>
      <c r="H386">
        <v>2466.1799999999998</v>
      </c>
      <c r="I386">
        <v>2483.87</v>
      </c>
      <c r="J386">
        <f>Table2[[#This Row],[Sales_Amount]]-(Table2[[#This Row],[Quantity_Sold]]*Table2[[#This Row],[Unit_Cost]])</f>
        <v>-40149.729999999996</v>
      </c>
    </row>
    <row r="387" spans="1:10" x14ac:dyDescent="0.3">
      <c r="A387">
        <v>1087</v>
      </c>
      <c r="B387" s="1">
        <v>44985</v>
      </c>
      <c r="C387" t="s">
        <v>42</v>
      </c>
      <c r="D387" t="s">
        <v>21</v>
      </c>
      <c r="E387">
        <v>7534.3</v>
      </c>
      <c r="F387">
        <v>15</v>
      </c>
      <c r="G387" t="s">
        <v>16</v>
      </c>
      <c r="H387">
        <v>4074.66</v>
      </c>
      <c r="I387">
        <v>4261.1099999999997</v>
      </c>
      <c r="J387">
        <f>Table2[[#This Row],[Sales_Amount]]-(Table2[[#This Row],[Quantity_Sold]]*Table2[[#This Row],[Unit_Cost]])</f>
        <v>-53585.599999999991</v>
      </c>
    </row>
    <row r="388" spans="1:10" x14ac:dyDescent="0.3">
      <c r="A388">
        <v>1033</v>
      </c>
      <c r="B388" s="1">
        <v>45141</v>
      </c>
      <c r="C388" t="s">
        <v>42</v>
      </c>
      <c r="D388" t="s">
        <v>21</v>
      </c>
      <c r="E388">
        <v>1103.5899999999999</v>
      </c>
      <c r="F388">
        <v>40</v>
      </c>
      <c r="G388" t="s">
        <v>26</v>
      </c>
      <c r="H388">
        <v>541.19000000000005</v>
      </c>
      <c r="I388">
        <v>595.20000000000005</v>
      </c>
      <c r="J388">
        <f>Table2[[#This Row],[Sales_Amount]]-(Table2[[#This Row],[Quantity_Sold]]*Table2[[#This Row],[Unit_Cost]])</f>
        <v>-20544.010000000002</v>
      </c>
    </row>
    <row r="389" spans="1:10" x14ac:dyDescent="0.3">
      <c r="A389">
        <v>1067</v>
      </c>
      <c r="B389" s="1">
        <v>45054</v>
      </c>
      <c r="C389" t="s">
        <v>33</v>
      </c>
      <c r="D389" t="s">
        <v>15</v>
      </c>
      <c r="E389">
        <v>2850.74</v>
      </c>
      <c r="F389">
        <v>32</v>
      </c>
      <c r="G389" t="s">
        <v>26</v>
      </c>
      <c r="H389">
        <v>2171.79</v>
      </c>
      <c r="I389">
        <v>2307.64</v>
      </c>
      <c r="J389">
        <f>Table2[[#This Row],[Sales_Amount]]-(Table2[[#This Row],[Quantity_Sold]]*Table2[[#This Row],[Unit_Cost]])</f>
        <v>-66646.539999999994</v>
      </c>
    </row>
    <row r="390" spans="1:10" x14ac:dyDescent="0.3">
      <c r="A390">
        <v>1018</v>
      </c>
      <c r="B390" s="1">
        <v>45150</v>
      </c>
      <c r="C390" t="s">
        <v>33</v>
      </c>
      <c r="D390" t="s">
        <v>15</v>
      </c>
      <c r="E390">
        <v>2835.56</v>
      </c>
      <c r="F390">
        <v>9</v>
      </c>
      <c r="G390" t="s">
        <v>35</v>
      </c>
      <c r="H390">
        <v>3161.09</v>
      </c>
      <c r="I390">
        <v>3216.42</v>
      </c>
      <c r="J390">
        <f>Table2[[#This Row],[Sales_Amount]]-(Table2[[#This Row],[Quantity_Sold]]*Table2[[#This Row],[Unit_Cost]])</f>
        <v>-25614.25</v>
      </c>
    </row>
    <row r="391" spans="1:10" x14ac:dyDescent="0.3">
      <c r="A391">
        <v>1025</v>
      </c>
      <c r="B391" s="1">
        <v>45135</v>
      </c>
      <c r="C391" t="s">
        <v>24</v>
      </c>
      <c r="D391" t="s">
        <v>21</v>
      </c>
      <c r="E391">
        <v>4376.99</v>
      </c>
      <c r="F391">
        <v>37</v>
      </c>
      <c r="G391" t="s">
        <v>35</v>
      </c>
      <c r="H391">
        <v>1115.02</v>
      </c>
      <c r="I391">
        <v>1174.48</v>
      </c>
      <c r="J391">
        <f>Table2[[#This Row],[Sales_Amount]]-(Table2[[#This Row],[Quantity_Sold]]*Table2[[#This Row],[Unit_Cost]])</f>
        <v>-36878.75</v>
      </c>
    </row>
    <row r="392" spans="1:10" x14ac:dyDescent="0.3">
      <c r="A392">
        <v>1095</v>
      </c>
      <c r="B392" s="1">
        <v>45041</v>
      </c>
      <c r="C392" t="s">
        <v>14</v>
      </c>
      <c r="D392" t="s">
        <v>25</v>
      </c>
      <c r="E392">
        <v>9805.65</v>
      </c>
      <c r="F392">
        <v>10</v>
      </c>
      <c r="G392" t="s">
        <v>35</v>
      </c>
      <c r="H392">
        <v>3155.97</v>
      </c>
      <c r="I392">
        <v>3263.49</v>
      </c>
      <c r="J392">
        <f>Table2[[#This Row],[Sales_Amount]]-(Table2[[#This Row],[Quantity_Sold]]*Table2[[#This Row],[Unit_Cost]])</f>
        <v>-21754.049999999996</v>
      </c>
    </row>
    <row r="393" spans="1:10" x14ac:dyDescent="0.3">
      <c r="A393">
        <v>1054</v>
      </c>
      <c r="B393" s="1">
        <v>45135</v>
      </c>
      <c r="C393" t="s">
        <v>24</v>
      </c>
      <c r="D393" t="s">
        <v>34</v>
      </c>
      <c r="E393">
        <v>768.28</v>
      </c>
      <c r="F393">
        <v>20</v>
      </c>
      <c r="G393" t="s">
        <v>29</v>
      </c>
      <c r="H393">
        <v>4622.1400000000003</v>
      </c>
      <c r="I393">
        <v>5122.07</v>
      </c>
      <c r="J393">
        <f>Table2[[#This Row],[Sales_Amount]]-(Table2[[#This Row],[Quantity_Sold]]*Table2[[#This Row],[Unit_Cost]])</f>
        <v>-91674.52</v>
      </c>
    </row>
    <row r="394" spans="1:10" x14ac:dyDescent="0.3">
      <c r="A394">
        <v>1058</v>
      </c>
      <c r="B394" s="1">
        <v>44940</v>
      </c>
      <c r="C394" t="s">
        <v>14</v>
      </c>
      <c r="D394" t="s">
        <v>34</v>
      </c>
      <c r="E394">
        <v>5235.1400000000003</v>
      </c>
      <c r="F394">
        <v>6</v>
      </c>
      <c r="G394" t="s">
        <v>26</v>
      </c>
      <c r="H394">
        <v>4987.71</v>
      </c>
      <c r="I394">
        <v>4998.78</v>
      </c>
      <c r="J394">
        <f>Table2[[#This Row],[Sales_Amount]]-(Table2[[#This Row],[Quantity_Sold]]*Table2[[#This Row],[Unit_Cost]])</f>
        <v>-24691.120000000003</v>
      </c>
    </row>
    <row r="395" spans="1:10" x14ac:dyDescent="0.3">
      <c r="A395">
        <v>1067</v>
      </c>
      <c r="B395" s="1">
        <v>44935</v>
      </c>
      <c r="C395" t="s">
        <v>33</v>
      </c>
      <c r="D395" t="s">
        <v>15</v>
      </c>
      <c r="E395">
        <v>1875.71</v>
      </c>
      <c r="F395">
        <v>48</v>
      </c>
      <c r="G395" t="s">
        <v>35</v>
      </c>
      <c r="H395">
        <v>210.63</v>
      </c>
      <c r="I395">
        <v>533.57999999999902</v>
      </c>
      <c r="J395">
        <f>Table2[[#This Row],[Sales_Amount]]-(Table2[[#This Row],[Quantity_Sold]]*Table2[[#This Row],[Unit_Cost]])</f>
        <v>-8234.5299999999988</v>
      </c>
    </row>
    <row r="396" spans="1:10" x14ac:dyDescent="0.3">
      <c r="A396">
        <v>1046</v>
      </c>
      <c r="B396" s="1">
        <v>44966</v>
      </c>
      <c r="C396" t="s">
        <v>33</v>
      </c>
      <c r="D396" t="s">
        <v>34</v>
      </c>
      <c r="E396">
        <v>9709.7000000000007</v>
      </c>
      <c r="F396">
        <v>3</v>
      </c>
      <c r="G396" t="s">
        <v>16</v>
      </c>
      <c r="H396">
        <v>1216.1600000000001</v>
      </c>
      <c r="I396">
        <v>1295.3699999999999</v>
      </c>
      <c r="J396">
        <f>Table2[[#This Row],[Sales_Amount]]-(Table2[[#This Row],[Quantity_Sold]]*Table2[[#This Row],[Unit_Cost]])</f>
        <v>6061.22</v>
      </c>
    </row>
    <row r="397" spans="1:10" x14ac:dyDescent="0.3">
      <c r="A397">
        <v>1024</v>
      </c>
      <c r="B397" s="1">
        <v>45163</v>
      </c>
      <c r="C397" t="s">
        <v>24</v>
      </c>
      <c r="D397" t="s">
        <v>25</v>
      </c>
      <c r="E397">
        <v>1221.7</v>
      </c>
      <c r="F397">
        <v>42</v>
      </c>
      <c r="G397" t="s">
        <v>35</v>
      </c>
      <c r="H397">
        <v>1586.02</v>
      </c>
      <c r="I397">
        <v>2047.13</v>
      </c>
      <c r="J397">
        <f>Table2[[#This Row],[Sales_Amount]]-(Table2[[#This Row],[Quantity_Sold]]*Table2[[#This Row],[Unit_Cost]])</f>
        <v>-65391.14</v>
      </c>
    </row>
    <row r="398" spans="1:10" x14ac:dyDescent="0.3">
      <c r="A398">
        <v>1032</v>
      </c>
      <c r="B398" s="1">
        <v>45207</v>
      </c>
      <c r="C398" t="s">
        <v>38</v>
      </c>
      <c r="D398" t="s">
        <v>34</v>
      </c>
      <c r="E398">
        <v>4095.65</v>
      </c>
      <c r="F398">
        <v>11</v>
      </c>
      <c r="G398" t="s">
        <v>26</v>
      </c>
      <c r="H398">
        <v>2025.67</v>
      </c>
      <c r="I398">
        <v>2081.5500000000002</v>
      </c>
      <c r="J398">
        <f>Table2[[#This Row],[Sales_Amount]]-(Table2[[#This Row],[Quantity_Sold]]*Table2[[#This Row],[Unit_Cost]])</f>
        <v>-18186.72</v>
      </c>
    </row>
    <row r="399" spans="1:10" x14ac:dyDescent="0.3">
      <c r="A399">
        <v>1047</v>
      </c>
      <c r="B399" s="1">
        <v>45285</v>
      </c>
      <c r="C399" t="s">
        <v>24</v>
      </c>
      <c r="D399" t="s">
        <v>15</v>
      </c>
      <c r="E399">
        <v>7405.06</v>
      </c>
      <c r="F399">
        <v>43</v>
      </c>
      <c r="G399" t="s">
        <v>35</v>
      </c>
      <c r="H399">
        <v>1249.17</v>
      </c>
      <c r="I399">
        <v>1727.15</v>
      </c>
      <c r="J399">
        <f>Table2[[#This Row],[Sales_Amount]]-(Table2[[#This Row],[Quantity_Sold]]*Table2[[#This Row],[Unit_Cost]])</f>
        <v>-46309.250000000007</v>
      </c>
    </row>
    <row r="400" spans="1:10" x14ac:dyDescent="0.3">
      <c r="A400">
        <v>1086</v>
      </c>
      <c r="B400" s="1">
        <v>45127</v>
      </c>
      <c r="C400" t="s">
        <v>14</v>
      </c>
      <c r="D400" t="s">
        <v>15</v>
      </c>
      <c r="E400">
        <v>7075.09</v>
      </c>
      <c r="F400">
        <v>17</v>
      </c>
      <c r="G400" t="s">
        <v>26</v>
      </c>
      <c r="H400">
        <v>1057.27</v>
      </c>
      <c r="I400">
        <v>1366.62</v>
      </c>
      <c r="J400">
        <f>Table2[[#This Row],[Sales_Amount]]-(Table2[[#This Row],[Quantity_Sold]]*Table2[[#This Row],[Unit_Cost]])</f>
        <v>-10898.5</v>
      </c>
    </row>
    <row r="401" spans="1:10" x14ac:dyDescent="0.3">
      <c r="A401">
        <v>1023</v>
      </c>
      <c r="B401" s="1">
        <v>45172</v>
      </c>
      <c r="C401" t="s">
        <v>24</v>
      </c>
      <c r="D401" t="s">
        <v>25</v>
      </c>
      <c r="E401">
        <v>4285.01</v>
      </c>
      <c r="F401">
        <v>32</v>
      </c>
      <c r="G401" t="s">
        <v>35</v>
      </c>
      <c r="H401">
        <v>4775.04</v>
      </c>
      <c r="I401">
        <v>4785.66</v>
      </c>
      <c r="J401">
        <f>Table2[[#This Row],[Sales_Amount]]-(Table2[[#This Row],[Quantity_Sold]]*Table2[[#This Row],[Unit_Cost]])</f>
        <v>-148516.26999999999</v>
      </c>
    </row>
    <row r="402" spans="1:10" x14ac:dyDescent="0.3">
      <c r="A402">
        <v>1066</v>
      </c>
      <c r="B402" s="1">
        <v>45204</v>
      </c>
      <c r="C402" t="s">
        <v>42</v>
      </c>
      <c r="D402" t="s">
        <v>25</v>
      </c>
      <c r="E402">
        <v>3530.59</v>
      </c>
      <c r="F402">
        <v>4</v>
      </c>
      <c r="G402" t="s">
        <v>16</v>
      </c>
      <c r="H402">
        <v>4596.68</v>
      </c>
      <c r="I402">
        <v>5044.74</v>
      </c>
      <c r="J402">
        <f>Table2[[#This Row],[Sales_Amount]]-(Table2[[#This Row],[Quantity_Sold]]*Table2[[#This Row],[Unit_Cost]])</f>
        <v>-14856.130000000001</v>
      </c>
    </row>
    <row r="403" spans="1:10" x14ac:dyDescent="0.3">
      <c r="A403">
        <v>1027</v>
      </c>
      <c r="B403" s="1">
        <v>45161</v>
      </c>
      <c r="C403" t="s">
        <v>14</v>
      </c>
      <c r="D403" t="s">
        <v>34</v>
      </c>
      <c r="E403">
        <v>4036.36</v>
      </c>
      <c r="F403">
        <v>4</v>
      </c>
      <c r="G403" t="s">
        <v>35</v>
      </c>
      <c r="H403">
        <v>282.61</v>
      </c>
      <c r="I403">
        <v>548.25</v>
      </c>
      <c r="J403">
        <f>Table2[[#This Row],[Sales_Amount]]-(Table2[[#This Row],[Quantity_Sold]]*Table2[[#This Row],[Unit_Cost]])</f>
        <v>2905.92</v>
      </c>
    </row>
    <row r="404" spans="1:10" x14ac:dyDescent="0.3">
      <c r="A404">
        <v>1002</v>
      </c>
      <c r="B404" s="1">
        <v>44930</v>
      </c>
      <c r="C404" t="s">
        <v>14</v>
      </c>
      <c r="D404" t="s">
        <v>34</v>
      </c>
      <c r="E404">
        <v>2716.34</v>
      </c>
      <c r="F404">
        <v>17</v>
      </c>
      <c r="G404" t="s">
        <v>16</v>
      </c>
      <c r="H404">
        <v>1727.12</v>
      </c>
      <c r="I404">
        <v>1865.83</v>
      </c>
      <c r="J404">
        <f>Table2[[#This Row],[Sales_Amount]]-(Table2[[#This Row],[Quantity_Sold]]*Table2[[#This Row],[Unit_Cost]])</f>
        <v>-26644.699999999997</v>
      </c>
    </row>
    <row r="405" spans="1:10" x14ac:dyDescent="0.3">
      <c r="A405">
        <v>1090</v>
      </c>
      <c r="B405" s="1">
        <v>45080</v>
      </c>
      <c r="C405" t="s">
        <v>38</v>
      </c>
      <c r="D405" t="s">
        <v>15</v>
      </c>
      <c r="E405">
        <v>2132.8000000000002</v>
      </c>
      <c r="F405">
        <v>41</v>
      </c>
      <c r="G405" t="s">
        <v>16</v>
      </c>
      <c r="H405">
        <v>2055.4899999999998</v>
      </c>
      <c r="I405">
        <v>2441.46</v>
      </c>
      <c r="J405">
        <f>Table2[[#This Row],[Sales_Amount]]-(Table2[[#This Row],[Quantity_Sold]]*Table2[[#This Row],[Unit_Cost]])</f>
        <v>-82142.289999999994</v>
      </c>
    </row>
    <row r="406" spans="1:10" x14ac:dyDescent="0.3">
      <c r="A406">
        <v>1017</v>
      </c>
      <c r="B406" s="1">
        <v>44955</v>
      </c>
      <c r="C406" t="s">
        <v>33</v>
      </c>
      <c r="D406" t="s">
        <v>25</v>
      </c>
      <c r="E406">
        <v>4882.09</v>
      </c>
      <c r="F406">
        <v>19</v>
      </c>
      <c r="G406" t="s">
        <v>35</v>
      </c>
      <c r="H406">
        <v>1233.1199999999999</v>
      </c>
      <c r="I406">
        <v>1697.1899999999901</v>
      </c>
      <c r="J406">
        <f>Table2[[#This Row],[Sales_Amount]]-(Table2[[#This Row],[Quantity_Sold]]*Table2[[#This Row],[Unit_Cost]])</f>
        <v>-18547.189999999999</v>
      </c>
    </row>
    <row r="407" spans="1:10" x14ac:dyDescent="0.3">
      <c r="A407">
        <v>1033</v>
      </c>
      <c r="B407" s="1">
        <v>45035</v>
      </c>
      <c r="C407" t="s">
        <v>14</v>
      </c>
      <c r="D407" t="s">
        <v>25</v>
      </c>
      <c r="E407">
        <v>2758.48</v>
      </c>
      <c r="F407">
        <v>5</v>
      </c>
      <c r="G407" t="s">
        <v>16</v>
      </c>
      <c r="H407">
        <v>3162.92</v>
      </c>
      <c r="I407">
        <v>3409.93</v>
      </c>
      <c r="J407">
        <f>Table2[[#This Row],[Sales_Amount]]-(Table2[[#This Row],[Quantity_Sold]]*Table2[[#This Row],[Unit_Cost]])</f>
        <v>-13056.12</v>
      </c>
    </row>
    <row r="408" spans="1:10" x14ac:dyDescent="0.3">
      <c r="A408">
        <v>1009</v>
      </c>
      <c r="B408" s="1">
        <v>45024</v>
      </c>
      <c r="C408" t="s">
        <v>33</v>
      </c>
      <c r="D408" t="s">
        <v>25</v>
      </c>
      <c r="E408">
        <v>2945.87</v>
      </c>
      <c r="F408">
        <v>32</v>
      </c>
      <c r="G408" t="s">
        <v>29</v>
      </c>
      <c r="H408">
        <v>3219.88</v>
      </c>
      <c r="I408">
        <v>3384.5</v>
      </c>
      <c r="J408">
        <f>Table2[[#This Row],[Sales_Amount]]-(Table2[[#This Row],[Quantity_Sold]]*Table2[[#This Row],[Unit_Cost]])</f>
        <v>-100090.29000000001</v>
      </c>
    </row>
    <row r="409" spans="1:10" x14ac:dyDescent="0.3">
      <c r="A409">
        <v>1043</v>
      </c>
      <c r="B409" s="1">
        <v>45141</v>
      </c>
      <c r="C409" t="s">
        <v>24</v>
      </c>
      <c r="D409" t="s">
        <v>34</v>
      </c>
      <c r="E409">
        <v>6601.89</v>
      </c>
      <c r="F409">
        <v>22</v>
      </c>
      <c r="G409" t="s">
        <v>35</v>
      </c>
      <c r="H409">
        <v>4260</v>
      </c>
      <c r="I409">
        <v>4656.58</v>
      </c>
      <c r="J409">
        <f>Table2[[#This Row],[Sales_Amount]]-(Table2[[#This Row],[Quantity_Sold]]*Table2[[#This Row],[Unit_Cost]])</f>
        <v>-87118.11</v>
      </c>
    </row>
    <row r="410" spans="1:10" x14ac:dyDescent="0.3">
      <c r="A410">
        <v>1048</v>
      </c>
      <c r="B410" s="1">
        <v>45219</v>
      </c>
      <c r="C410" t="s">
        <v>42</v>
      </c>
      <c r="D410" t="s">
        <v>25</v>
      </c>
      <c r="E410">
        <v>9688.52</v>
      </c>
      <c r="F410">
        <v>6</v>
      </c>
      <c r="G410" t="s">
        <v>35</v>
      </c>
      <c r="H410">
        <v>3717.3</v>
      </c>
      <c r="I410">
        <v>4061.37</v>
      </c>
      <c r="J410">
        <f>Table2[[#This Row],[Sales_Amount]]-(Table2[[#This Row],[Quantity_Sold]]*Table2[[#This Row],[Unit_Cost]])</f>
        <v>-12615.280000000002</v>
      </c>
    </row>
    <row r="411" spans="1:10" x14ac:dyDescent="0.3">
      <c r="A411">
        <v>1039</v>
      </c>
      <c r="B411" s="1">
        <v>45001</v>
      </c>
      <c r="C411" t="s">
        <v>38</v>
      </c>
      <c r="D411" t="s">
        <v>15</v>
      </c>
      <c r="E411">
        <v>6076.01</v>
      </c>
      <c r="F411">
        <v>35</v>
      </c>
      <c r="G411" t="s">
        <v>16</v>
      </c>
      <c r="H411">
        <v>2735.74</v>
      </c>
      <c r="I411">
        <v>3181.22999999999</v>
      </c>
      <c r="J411">
        <f>Table2[[#This Row],[Sales_Amount]]-(Table2[[#This Row],[Quantity_Sold]]*Table2[[#This Row],[Unit_Cost]])</f>
        <v>-89674.89</v>
      </c>
    </row>
    <row r="412" spans="1:10" x14ac:dyDescent="0.3">
      <c r="A412">
        <v>1093</v>
      </c>
      <c r="B412" s="1">
        <v>45252</v>
      </c>
      <c r="C412" t="s">
        <v>33</v>
      </c>
      <c r="D412" t="s">
        <v>15</v>
      </c>
      <c r="E412">
        <v>862.1</v>
      </c>
      <c r="F412">
        <v>22</v>
      </c>
      <c r="G412" t="s">
        <v>16</v>
      </c>
      <c r="H412">
        <v>3285.25</v>
      </c>
      <c r="I412">
        <v>3634.58</v>
      </c>
      <c r="J412">
        <f>Table2[[#This Row],[Sales_Amount]]-(Table2[[#This Row],[Quantity_Sold]]*Table2[[#This Row],[Unit_Cost]])</f>
        <v>-71413.399999999994</v>
      </c>
    </row>
    <row r="413" spans="1:10" x14ac:dyDescent="0.3">
      <c r="A413">
        <v>1042</v>
      </c>
      <c r="B413" s="1">
        <v>45072</v>
      </c>
      <c r="C413" t="s">
        <v>14</v>
      </c>
      <c r="D413" t="s">
        <v>34</v>
      </c>
      <c r="E413">
        <v>848.28</v>
      </c>
      <c r="F413">
        <v>1</v>
      </c>
      <c r="G413" t="s">
        <v>35</v>
      </c>
      <c r="H413">
        <v>1406.24</v>
      </c>
      <c r="I413">
        <v>1535.57</v>
      </c>
      <c r="J413">
        <f>Table2[[#This Row],[Sales_Amount]]-(Table2[[#This Row],[Quantity_Sold]]*Table2[[#This Row],[Unit_Cost]])</f>
        <v>-557.96</v>
      </c>
    </row>
    <row r="414" spans="1:10" x14ac:dyDescent="0.3">
      <c r="A414">
        <v>1026</v>
      </c>
      <c r="B414" s="1">
        <v>45054</v>
      </c>
      <c r="C414" t="s">
        <v>33</v>
      </c>
      <c r="D414" t="s">
        <v>21</v>
      </c>
      <c r="E414">
        <v>9519.09</v>
      </c>
      <c r="F414">
        <v>20</v>
      </c>
      <c r="G414" t="s">
        <v>29</v>
      </c>
      <c r="H414">
        <v>2985.63</v>
      </c>
      <c r="I414">
        <v>3452.14</v>
      </c>
      <c r="J414">
        <f>Table2[[#This Row],[Sales_Amount]]-(Table2[[#This Row],[Quantity_Sold]]*Table2[[#This Row],[Unit_Cost]])</f>
        <v>-50193.510000000009</v>
      </c>
    </row>
    <row r="415" spans="1:10" x14ac:dyDescent="0.3">
      <c r="A415">
        <v>1099</v>
      </c>
      <c r="B415" s="1">
        <v>45267</v>
      </c>
      <c r="C415" t="s">
        <v>14</v>
      </c>
      <c r="D415" t="s">
        <v>34</v>
      </c>
      <c r="E415">
        <v>3043.18</v>
      </c>
      <c r="F415">
        <v>22</v>
      </c>
      <c r="G415" t="s">
        <v>16</v>
      </c>
      <c r="H415">
        <v>2471.67</v>
      </c>
      <c r="I415">
        <v>2533.04</v>
      </c>
      <c r="J415">
        <f>Table2[[#This Row],[Sales_Amount]]-(Table2[[#This Row],[Quantity_Sold]]*Table2[[#This Row],[Unit_Cost]])</f>
        <v>-51333.560000000005</v>
      </c>
    </row>
    <row r="416" spans="1:10" x14ac:dyDescent="0.3">
      <c r="A416">
        <v>1050</v>
      </c>
      <c r="B416" s="1">
        <v>44968</v>
      </c>
      <c r="C416" t="s">
        <v>33</v>
      </c>
      <c r="D416" t="s">
        <v>21</v>
      </c>
      <c r="E416">
        <v>1011.46</v>
      </c>
      <c r="F416">
        <v>48</v>
      </c>
      <c r="G416" t="s">
        <v>16</v>
      </c>
      <c r="H416">
        <v>710.06</v>
      </c>
      <c r="I416">
        <v>851.349999999999</v>
      </c>
      <c r="J416">
        <f>Table2[[#This Row],[Sales_Amount]]-(Table2[[#This Row],[Quantity_Sold]]*Table2[[#This Row],[Unit_Cost]])</f>
        <v>-33071.42</v>
      </c>
    </row>
    <row r="417" spans="1:10" x14ac:dyDescent="0.3">
      <c r="A417">
        <v>1025</v>
      </c>
      <c r="B417" s="1">
        <v>45282</v>
      </c>
      <c r="C417" t="s">
        <v>14</v>
      </c>
      <c r="D417" t="s">
        <v>25</v>
      </c>
      <c r="E417">
        <v>6030.54</v>
      </c>
      <c r="F417">
        <v>11</v>
      </c>
      <c r="G417" t="s">
        <v>26</v>
      </c>
      <c r="H417">
        <v>1250.5899999999999</v>
      </c>
      <c r="I417">
        <v>1515.48999999999</v>
      </c>
      <c r="J417">
        <f>Table2[[#This Row],[Sales_Amount]]-(Table2[[#This Row],[Quantity_Sold]]*Table2[[#This Row],[Unit_Cost]])</f>
        <v>-7725.95</v>
      </c>
    </row>
    <row r="418" spans="1:10" x14ac:dyDescent="0.3">
      <c r="A418">
        <v>1024</v>
      </c>
      <c r="B418" s="1">
        <v>44967</v>
      </c>
      <c r="C418" t="s">
        <v>24</v>
      </c>
      <c r="D418" t="s">
        <v>34</v>
      </c>
      <c r="E418">
        <v>6274.12</v>
      </c>
      <c r="F418">
        <v>13</v>
      </c>
      <c r="G418" t="s">
        <v>29</v>
      </c>
      <c r="H418">
        <v>1493.88</v>
      </c>
      <c r="I418">
        <v>1781.09</v>
      </c>
      <c r="J418">
        <f>Table2[[#This Row],[Sales_Amount]]-(Table2[[#This Row],[Quantity_Sold]]*Table2[[#This Row],[Unit_Cost]])</f>
        <v>-13146.320000000003</v>
      </c>
    </row>
    <row r="419" spans="1:10" x14ac:dyDescent="0.3">
      <c r="A419">
        <v>1013</v>
      </c>
      <c r="B419" s="1">
        <v>44960</v>
      </c>
      <c r="C419" t="s">
        <v>14</v>
      </c>
      <c r="D419" t="s">
        <v>15</v>
      </c>
      <c r="E419">
        <v>6520.2</v>
      </c>
      <c r="F419">
        <v>42</v>
      </c>
      <c r="G419" t="s">
        <v>29</v>
      </c>
      <c r="H419">
        <v>4625.33</v>
      </c>
      <c r="I419">
        <v>4642.83</v>
      </c>
      <c r="J419">
        <f>Table2[[#This Row],[Sales_Amount]]-(Table2[[#This Row],[Quantity_Sold]]*Table2[[#This Row],[Unit_Cost]])</f>
        <v>-187743.65999999997</v>
      </c>
    </row>
    <row r="420" spans="1:10" x14ac:dyDescent="0.3">
      <c r="A420">
        <v>1060</v>
      </c>
      <c r="B420" s="1">
        <v>44943</v>
      </c>
      <c r="C420" t="s">
        <v>14</v>
      </c>
      <c r="D420" t="s">
        <v>25</v>
      </c>
      <c r="E420">
        <v>2747.28</v>
      </c>
      <c r="F420">
        <v>3</v>
      </c>
      <c r="G420" t="s">
        <v>35</v>
      </c>
      <c r="H420">
        <v>1190.4100000000001</v>
      </c>
      <c r="I420">
        <v>1582.89</v>
      </c>
      <c r="J420">
        <f>Table2[[#This Row],[Sales_Amount]]-(Table2[[#This Row],[Quantity_Sold]]*Table2[[#This Row],[Unit_Cost]])</f>
        <v>-823.95000000000027</v>
      </c>
    </row>
    <row r="421" spans="1:10" x14ac:dyDescent="0.3">
      <c r="A421">
        <v>1007</v>
      </c>
      <c r="B421" s="1">
        <v>45091</v>
      </c>
      <c r="C421" t="s">
        <v>42</v>
      </c>
      <c r="D421" t="s">
        <v>15</v>
      </c>
      <c r="E421">
        <v>249.6</v>
      </c>
      <c r="F421">
        <v>9</v>
      </c>
      <c r="G421" t="s">
        <v>29</v>
      </c>
      <c r="H421">
        <v>1481.76</v>
      </c>
      <c r="I421">
        <v>1668.95</v>
      </c>
      <c r="J421">
        <f>Table2[[#This Row],[Sales_Amount]]-(Table2[[#This Row],[Quantity_Sold]]*Table2[[#This Row],[Unit_Cost]])</f>
        <v>-13086.24</v>
      </c>
    </row>
    <row r="422" spans="1:10" x14ac:dyDescent="0.3">
      <c r="A422">
        <v>1057</v>
      </c>
      <c r="B422" s="1">
        <v>45079</v>
      </c>
      <c r="C422" t="s">
        <v>14</v>
      </c>
      <c r="D422" t="s">
        <v>25</v>
      </c>
      <c r="E422">
        <v>9653.65</v>
      </c>
      <c r="F422">
        <v>12</v>
      </c>
      <c r="G422" t="s">
        <v>35</v>
      </c>
      <c r="H422">
        <v>1878.3</v>
      </c>
      <c r="I422">
        <v>2087.4499999999998</v>
      </c>
      <c r="J422">
        <f>Table2[[#This Row],[Sales_Amount]]-(Table2[[#This Row],[Quantity_Sold]]*Table2[[#This Row],[Unit_Cost]])</f>
        <v>-12885.949999999999</v>
      </c>
    </row>
    <row r="423" spans="1:10" x14ac:dyDescent="0.3">
      <c r="A423">
        <v>1036</v>
      </c>
      <c r="B423" s="1">
        <v>45002</v>
      </c>
      <c r="C423" t="s">
        <v>42</v>
      </c>
      <c r="D423" t="s">
        <v>34</v>
      </c>
      <c r="E423">
        <v>2583.84</v>
      </c>
      <c r="F423">
        <v>23</v>
      </c>
      <c r="G423" t="s">
        <v>26</v>
      </c>
      <c r="H423">
        <v>3335.53</v>
      </c>
      <c r="I423">
        <v>3742.12</v>
      </c>
      <c r="J423">
        <f>Table2[[#This Row],[Sales_Amount]]-(Table2[[#This Row],[Quantity_Sold]]*Table2[[#This Row],[Unit_Cost]])</f>
        <v>-74133.350000000006</v>
      </c>
    </row>
    <row r="424" spans="1:10" x14ac:dyDescent="0.3">
      <c r="A424">
        <v>1045</v>
      </c>
      <c r="B424" s="1">
        <v>45013</v>
      </c>
      <c r="C424" t="s">
        <v>38</v>
      </c>
      <c r="D424" t="s">
        <v>21</v>
      </c>
      <c r="E424">
        <v>6792.66</v>
      </c>
      <c r="F424">
        <v>14</v>
      </c>
      <c r="G424" t="s">
        <v>29</v>
      </c>
      <c r="H424">
        <v>635.28</v>
      </c>
      <c r="I424">
        <v>831.13</v>
      </c>
      <c r="J424">
        <f>Table2[[#This Row],[Sales_Amount]]-(Table2[[#This Row],[Quantity_Sold]]*Table2[[#This Row],[Unit_Cost]])</f>
        <v>-2101.2600000000002</v>
      </c>
    </row>
    <row r="425" spans="1:10" x14ac:dyDescent="0.3">
      <c r="A425">
        <v>1020</v>
      </c>
      <c r="B425" s="1">
        <v>45043</v>
      </c>
      <c r="C425" t="s">
        <v>42</v>
      </c>
      <c r="D425" t="s">
        <v>25</v>
      </c>
      <c r="E425">
        <v>7095.64</v>
      </c>
      <c r="F425">
        <v>33</v>
      </c>
      <c r="G425" t="s">
        <v>16</v>
      </c>
      <c r="H425">
        <v>4772.03</v>
      </c>
      <c r="I425">
        <v>4805.17</v>
      </c>
      <c r="J425">
        <f>Table2[[#This Row],[Sales_Amount]]-(Table2[[#This Row],[Quantity_Sold]]*Table2[[#This Row],[Unit_Cost]])</f>
        <v>-150381.34999999998</v>
      </c>
    </row>
    <row r="426" spans="1:10" x14ac:dyDescent="0.3">
      <c r="A426">
        <v>1065</v>
      </c>
      <c r="B426" s="1">
        <v>45288</v>
      </c>
      <c r="C426" t="s">
        <v>24</v>
      </c>
      <c r="D426" t="s">
        <v>21</v>
      </c>
      <c r="E426">
        <v>6139.07</v>
      </c>
      <c r="F426">
        <v>18</v>
      </c>
      <c r="G426" t="s">
        <v>26</v>
      </c>
      <c r="H426">
        <v>4334.58</v>
      </c>
      <c r="I426">
        <v>4431.04</v>
      </c>
      <c r="J426">
        <f>Table2[[#This Row],[Sales_Amount]]-(Table2[[#This Row],[Quantity_Sold]]*Table2[[#This Row],[Unit_Cost]])</f>
        <v>-71883.37</v>
      </c>
    </row>
    <row r="427" spans="1:10" x14ac:dyDescent="0.3">
      <c r="A427">
        <v>1008</v>
      </c>
      <c r="B427" s="1">
        <v>45268</v>
      </c>
      <c r="C427" t="s">
        <v>42</v>
      </c>
      <c r="D427" t="s">
        <v>25</v>
      </c>
      <c r="E427">
        <v>3197.78</v>
      </c>
      <c r="F427">
        <v>49</v>
      </c>
      <c r="G427" t="s">
        <v>35</v>
      </c>
      <c r="H427">
        <v>2907.22</v>
      </c>
      <c r="I427">
        <v>3385.6099999999901</v>
      </c>
      <c r="J427">
        <f>Table2[[#This Row],[Sales_Amount]]-(Table2[[#This Row],[Quantity_Sold]]*Table2[[#This Row],[Unit_Cost]])</f>
        <v>-139256</v>
      </c>
    </row>
    <row r="428" spans="1:10" x14ac:dyDescent="0.3">
      <c r="A428">
        <v>1016</v>
      </c>
      <c r="B428" s="1">
        <v>44953</v>
      </c>
      <c r="C428" t="s">
        <v>38</v>
      </c>
      <c r="D428" t="s">
        <v>15</v>
      </c>
      <c r="E428">
        <v>2783.85</v>
      </c>
      <c r="F428">
        <v>41</v>
      </c>
      <c r="G428" t="s">
        <v>26</v>
      </c>
      <c r="H428">
        <v>3386.49</v>
      </c>
      <c r="I428">
        <v>3430.99</v>
      </c>
      <c r="J428">
        <f>Table2[[#This Row],[Sales_Amount]]-(Table2[[#This Row],[Quantity_Sold]]*Table2[[#This Row],[Unit_Cost]])</f>
        <v>-136062.24</v>
      </c>
    </row>
    <row r="429" spans="1:10" x14ac:dyDescent="0.3">
      <c r="A429">
        <v>1014</v>
      </c>
      <c r="B429" s="1">
        <v>45239</v>
      </c>
      <c r="C429" t="s">
        <v>24</v>
      </c>
      <c r="D429" t="s">
        <v>15</v>
      </c>
      <c r="E429">
        <v>6016.92</v>
      </c>
      <c r="F429">
        <v>9</v>
      </c>
      <c r="G429" t="s">
        <v>35</v>
      </c>
      <c r="H429">
        <v>132.47</v>
      </c>
      <c r="I429">
        <v>316.39</v>
      </c>
      <c r="J429">
        <f>Table2[[#This Row],[Sales_Amount]]-(Table2[[#This Row],[Quantity_Sold]]*Table2[[#This Row],[Unit_Cost]])</f>
        <v>4824.6900000000005</v>
      </c>
    </row>
    <row r="430" spans="1:10" x14ac:dyDescent="0.3">
      <c r="A430">
        <v>1076</v>
      </c>
      <c r="B430" s="1">
        <v>45213</v>
      </c>
      <c r="C430" t="s">
        <v>33</v>
      </c>
      <c r="D430" t="s">
        <v>25</v>
      </c>
      <c r="E430">
        <v>8674.35</v>
      </c>
      <c r="F430">
        <v>23</v>
      </c>
      <c r="G430" t="s">
        <v>26</v>
      </c>
      <c r="H430">
        <v>1727.78</v>
      </c>
      <c r="I430">
        <v>1984.34</v>
      </c>
      <c r="J430">
        <f>Table2[[#This Row],[Sales_Amount]]-(Table2[[#This Row],[Quantity_Sold]]*Table2[[#This Row],[Unit_Cost]])</f>
        <v>-31064.590000000004</v>
      </c>
    </row>
    <row r="431" spans="1:10" x14ac:dyDescent="0.3">
      <c r="A431">
        <v>1087</v>
      </c>
      <c r="B431" s="1">
        <v>45060</v>
      </c>
      <c r="C431" t="s">
        <v>33</v>
      </c>
      <c r="D431" t="s">
        <v>21</v>
      </c>
      <c r="E431">
        <v>9472.66</v>
      </c>
      <c r="F431">
        <v>10</v>
      </c>
      <c r="G431" t="s">
        <v>35</v>
      </c>
      <c r="H431">
        <v>3988.52</v>
      </c>
      <c r="I431">
        <v>4240.2299999999996</v>
      </c>
      <c r="J431">
        <f>Table2[[#This Row],[Sales_Amount]]-(Table2[[#This Row],[Quantity_Sold]]*Table2[[#This Row],[Unit_Cost]])</f>
        <v>-30412.539999999997</v>
      </c>
    </row>
    <row r="432" spans="1:10" x14ac:dyDescent="0.3">
      <c r="A432">
        <v>1015</v>
      </c>
      <c r="B432" s="1">
        <v>45145</v>
      </c>
      <c r="C432" t="s">
        <v>42</v>
      </c>
      <c r="D432" t="s">
        <v>34</v>
      </c>
      <c r="E432">
        <v>1148.47</v>
      </c>
      <c r="F432">
        <v>19</v>
      </c>
      <c r="G432" t="s">
        <v>29</v>
      </c>
      <c r="H432">
        <v>433.54</v>
      </c>
      <c r="I432">
        <v>445.48</v>
      </c>
      <c r="J432">
        <f>Table2[[#This Row],[Sales_Amount]]-(Table2[[#This Row],[Quantity_Sold]]*Table2[[#This Row],[Unit_Cost]])</f>
        <v>-7088.79</v>
      </c>
    </row>
    <row r="433" spans="1:10" x14ac:dyDescent="0.3">
      <c r="A433">
        <v>1092</v>
      </c>
      <c r="B433" s="1">
        <v>45094</v>
      </c>
      <c r="C433" t="s">
        <v>42</v>
      </c>
      <c r="D433" t="s">
        <v>34</v>
      </c>
      <c r="E433">
        <v>1632.8</v>
      </c>
      <c r="F433">
        <v>47</v>
      </c>
      <c r="G433" t="s">
        <v>16</v>
      </c>
      <c r="H433">
        <v>1447.45</v>
      </c>
      <c r="I433">
        <v>1703.02</v>
      </c>
      <c r="J433">
        <f>Table2[[#This Row],[Sales_Amount]]-(Table2[[#This Row],[Quantity_Sold]]*Table2[[#This Row],[Unit_Cost]])</f>
        <v>-66397.350000000006</v>
      </c>
    </row>
    <row r="434" spans="1:10" x14ac:dyDescent="0.3">
      <c r="A434">
        <v>1098</v>
      </c>
      <c r="B434" s="1">
        <v>45024</v>
      </c>
      <c r="C434" t="s">
        <v>38</v>
      </c>
      <c r="D434" t="s">
        <v>15</v>
      </c>
      <c r="E434">
        <v>9452.89</v>
      </c>
      <c r="F434">
        <v>5</v>
      </c>
      <c r="G434" t="s">
        <v>35</v>
      </c>
      <c r="H434">
        <v>2947.22</v>
      </c>
      <c r="I434">
        <v>3145.27</v>
      </c>
      <c r="J434">
        <f>Table2[[#This Row],[Sales_Amount]]-(Table2[[#This Row],[Quantity_Sold]]*Table2[[#This Row],[Unit_Cost]])</f>
        <v>-5283.2099999999991</v>
      </c>
    </row>
    <row r="435" spans="1:10" x14ac:dyDescent="0.3">
      <c r="A435">
        <v>1066</v>
      </c>
      <c r="B435" s="1">
        <v>45194</v>
      </c>
      <c r="C435" t="s">
        <v>38</v>
      </c>
      <c r="D435" t="s">
        <v>34</v>
      </c>
      <c r="E435">
        <v>7391.7</v>
      </c>
      <c r="F435">
        <v>47</v>
      </c>
      <c r="G435" t="s">
        <v>26</v>
      </c>
      <c r="H435">
        <v>1319.24</v>
      </c>
      <c r="I435">
        <v>1805.56</v>
      </c>
      <c r="J435">
        <f>Table2[[#This Row],[Sales_Amount]]-(Table2[[#This Row],[Quantity_Sold]]*Table2[[#This Row],[Unit_Cost]])</f>
        <v>-54612.58</v>
      </c>
    </row>
    <row r="436" spans="1:10" x14ac:dyDescent="0.3">
      <c r="A436">
        <v>1032</v>
      </c>
      <c r="B436" s="1">
        <v>45163</v>
      </c>
      <c r="C436" t="s">
        <v>14</v>
      </c>
      <c r="D436" t="s">
        <v>15</v>
      </c>
      <c r="E436">
        <v>8841.64</v>
      </c>
      <c r="F436">
        <v>23</v>
      </c>
      <c r="G436" t="s">
        <v>35</v>
      </c>
      <c r="H436">
        <v>4673.1899999999996</v>
      </c>
      <c r="I436">
        <v>4761.1799999999903</v>
      </c>
      <c r="J436">
        <f>Table2[[#This Row],[Sales_Amount]]-(Table2[[#This Row],[Quantity_Sold]]*Table2[[#This Row],[Unit_Cost]])</f>
        <v>-98641.73</v>
      </c>
    </row>
    <row r="437" spans="1:10" x14ac:dyDescent="0.3">
      <c r="A437">
        <v>1087</v>
      </c>
      <c r="B437" s="1">
        <v>45235</v>
      </c>
      <c r="C437" t="s">
        <v>38</v>
      </c>
      <c r="D437" t="s">
        <v>34</v>
      </c>
      <c r="E437">
        <v>2106.06</v>
      </c>
      <c r="F437">
        <v>30</v>
      </c>
      <c r="G437" t="s">
        <v>35</v>
      </c>
      <c r="H437">
        <v>698.74</v>
      </c>
      <c r="I437">
        <v>882.28</v>
      </c>
      <c r="J437">
        <f>Table2[[#This Row],[Sales_Amount]]-(Table2[[#This Row],[Quantity_Sold]]*Table2[[#This Row],[Unit_Cost]])</f>
        <v>-18856.14</v>
      </c>
    </row>
    <row r="438" spans="1:10" x14ac:dyDescent="0.3">
      <c r="A438">
        <v>1063</v>
      </c>
      <c r="B438" s="1">
        <v>45099</v>
      </c>
      <c r="C438" t="s">
        <v>14</v>
      </c>
      <c r="D438" t="s">
        <v>25</v>
      </c>
      <c r="E438">
        <v>5917.1</v>
      </c>
      <c r="F438">
        <v>25</v>
      </c>
      <c r="G438" t="s">
        <v>35</v>
      </c>
      <c r="H438">
        <v>3997.1</v>
      </c>
      <c r="I438">
        <v>4212.6499999999996</v>
      </c>
      <c r="J438">
        <f>Table2[[#This Row],[Sales_Amount]]-(Table2[[#This Row],[Quantity_Sold]]*Table2[[#This Row],[Unit_Cost]])</f>
        <v>-94010.4</v>
      </c>
    </row>
    <row r="439" spans="1:10" x14ac:dyDescent="0.3">
      <c r="A439">
        <v>1086</v>
      </c>
      <c r="B439" s="1">
        <v>45116</v>
      </c>
      <c r="C439" t="s">
        <v>24</v>
      </c>
      <c r="D439" t="s">
        <v>15</v>
      </c>
      <c r="E439">
        <v>7041.28</v>
      </c>
      <c r="F439">
        <v>28</v>
      </c>
      <c r="G439" t="s">
        <v>26</v>
      </c>
      <c r="H439">
        <v>2564.35</v>
      </c>
      <c r="I439">
        <v>2765.79</v>
      </c>
      <c r="J439">
        <f>Table2[[#This Row],[Sales_Amount]]-(Table2[[#This Row],[Quantity_Sold]]*Table2[[#This Row],[Unit_Cost]])</f>
        <v>-64760.520000000004</v>
      </c>
    </row>
    <row r="440" spans="1:10" x14ac:dyDescent="0.3">
      <c r="A440">
        <v>1051</v>
      </c>
      <c r="B440" s="1">
        <v>45048</v>
      </c>
      <c r="C440" t="s">
        <v>42</v>
      </c>
      <c r="D440" t="s">
        <v>15</v>
      </c>
      <c r="E440">
        <v>6833.11</v>
      </c>
      <c r="F440">
        <v>34</v>
      </c>
      <c r="G440" t="s">
        <v>16</v>
      </c>
      <c r="H440">
        <v>3764.14</v>
      </c>
      <c r="I440">
        <v>4100.3999999999996</v>
      </c>
      <c r="J440">
        <f>Table2[[#This Row],[Sales_Amount]]-(Table2[[#This Row],[Quantity_Sold]]*Table2[[#This Row],[Unit_Cost]])</f>
        <v>-121147.65</v>
      </c>
    </row>
    <row r="441" spans="1:10" x14ac:dyDescent="0.3">
      <c r="A441">
        <v>1025</v>
      </c>
      <c r="B441" s="1">
        <v>44972</v>
      </c>
      <c r="C441" t="s">
        <v>24</v>
      </c>
      <c r="D441" t="s">
        <v>25</v>
      </c>
      <c r="E441">
        <v>4140.7</v>
      </c>
      <c r="F441">
        <v>45</v>
      </c>
      <c r="G441" t="s">
        <v>29</v>
      </c>
      <c r="H441">
        <v>1588.04</v>
      </c>
      <c r="I441">
        <v>1703.6399999999901</v>
      </c>
      <c r="J441">
        <f>Table2[[#This Row],[Sales_Amount]]-(Table2[[#This Row],[Quantity_Sold]]*Table2[[#This Row],[Unit_Cost]])</f>
        <v>-67321.100000000006</v>
      </c>
    </row>
    <row r="442" spans="1:10" x14ac:dyDescent="0.3">
      <c r="A442">
        <v>1058</v>
      </c>
      <c r="B442" s="1">
        <v>44990</v>
      </c>
      <c r="C442" t="s">
        <v>38</v>
      </c>
      <c r="D442" t="s">
        <v>15</v>
      </c>
      <c r="E442">
        <v>252.41</v>
      </c>
      <c r="F442">
        <v>48</v>
      </c>
      <c r="G442" t="s">
        <v>16</v>
      </c>
      <c r="H442">
        <v>2596.7199999999998</v>
      </c>
      <c r="I442">
        <v>2715.0499999999902</v>
      </c>
      <c r="J442">
        <f>Table2[[#This Row],[Sales_Amount]]-(Table2[[#This Row],[Quantity_Sold]]*Table2[[#This Row],[Unit_Cost]])</f>
        <v>-124390.15</v>
      </c>
    </row>
    <row r="443" spans="1:10" x14ac:dyDescent="0.3">
      <c r="A443">
        <v>1063</v>
      </c>
      <c r="B443" s="1">
        <v>45056</v>
      </c>
      <c r="C443" t="s">
        <v>24</v>
      </c>
      <c r="D443" t="s">
        <v>34</v>
      </c>
      <c r="E443">
        <v>5870.97</v>
      </c>
      <c r="F443">
        <v>47</v>
      </c>
      <c r="G443" t="s">
        <v>35</v>
      </c>
      <c r="H443">
        <v>4291.33</v>
      </c>
      <c r="I443">
        <v>4658.6400000000003</v>
      </c>
      <c r="J443">
        <f>Table2[[#This Row],[Sales_Amount]]-(Table2[[#This Row],[Quantity_Sold]]*Table2[[#This Row],[Unit_Cost]])</f>
        <v>-195821.54</v>
      </c>
    </row>
    <row r="444" spans="1:10" x14ac:dyDescent="0.3">
      <c r="A444">
        <v>1062</v>
      </c>
      <c r="B444" s="1">
        <v>45236</v>
      </c>
      <c r="C444" t="s">
        <v>24</v>
      </c>
      <c r="D444" t="s">
        <v>34</v>
      </c>
      <c r="E444">
        <v>2605.71</v>
      </c>
      <c r="F444">
        <v>25</v>
      </c>
      <c r="G444" t="s">
        <v>26</v>
      </c>
      <c r="H444">
        <v>2361.0500000000002</v>
      </c>
      <c r="I444">
        <v>2616.19</v>
      </c>
      <c r="J444">
        <f>Table2[[#This Row],[Sales_Amount]]-(Table2[[#This Row],[Quantity_Sold]]*Table2[[#This Row],[Unit_Cost]])</f>
        <v>-56420.540000000008</v>
      </c>
    </row>
    <row r="445" spans="1:10" x14ac:dyDescent="0.3">
      <c r="A445">
        <v>1022</v>
      </c>
      <c r="B445" s="1">
        <v>45289</v>
      </c>
      <c r="C445" t="s">
        <v>24</v>
      </c>
      <c r="D445" t="s">
        <v>15</v>
      </c>
      <c r="E445">
        <v>4557.5200000000004</v>
      </c>
      <c r="F445">
        <v>10</v>
      </c>
      <c r="G445" t="s">
        <v>16</v>
      </c>
      <c r="H445">
        <v>1830.61</v>
      </c>
      <c r="I445">
        <v>2044.04</v>
      </c>
      <c r="J445">
        <f>Table2[[#This Row],[Sales_Amount]]-(Table2[[#This Row],[Quantity_Sold]]*Table2[[#This Row],[Unit_Cost]])</f>
        <v>-13748.579999999998</v>
      </c>
    </row>
    <row r="446" spans="1:10" x14ac:dyDescent="0.3">
      <c r="A446">
        <v>1058</v>
      </c>
      <c r="B446" s="1">
        <v>45119</v>
      </c>
      <c r="C446" t="s">
        <v>38</v>
      </c>
      <c r="D446" t="s">
        <v>34</v>
      </c>
      <c r="E446">
        <v>9580.0499999999993</v>
      </c>
      <c r="F446">
        <v>14</v>
      </c>
      <c r="G446" t="s">
        <v>35</v>
      </c>
      <c r="H446">
        <v>2703.97</v>
      </c>
      <c r="I446">
        <v>2796.8799999999901</v>
      </c>
      <c r="J446">
        <f>Table2[[#This Row],[Sales_Amount]]-(Table2[[#This Row],[Quantity_Sold]]*Table2[[#This Row],[Unit_Cost]])</f>
        <v>-28275.529999999995</v>
      </c>
    </row>
    <row r="447" spans="1:10" x14ac:dyDescent="0.3">
      <c r="A447">
        <v>1058</v>
      </c>
      <c r="B447" s="1">
        <v>45233</v>
      </c>
      <c r="C447" t="s">
        <v>24</v>
      </c>
      <c r="D447" t="s">
        <v>21</v>
      </c>
      <c r="E447">
        <v>4050.45</v>
      </c>
      <c r="F447">
        <v>42</v>
      </c>
      <c r="G447" t="s">
        <v>29</v>
      </c>
      <c r="H447">
        <v>3600.95</v>
      </c>
      <c r="I447">
        <v>3702.8399999999901</v>
      </c>
      <c r="J447">
        <f>Table2[[#This Row],[Sales_Amount]]-(Table2[[#This Row],[Quantity_Sold]]*Table2[[#This Row],[Unit_Cost]])</f>
        <v>-147189.44999999998</v>
      </c>
    </row>
    <row r="448" spans="1:10" x14ac:dyDescent="0.3">
      <c r="A448">
        <v>1086</v>
      </c>
      <c r="B448" s="1">
        <v>45107</v>
      </c>
      <c r="C448" t="s">
        <v>14</v>
      </c>
      <c r="D448" t="s">
        <v>15</v>
      </c>
      <c r="E448">
        <v>8414.0400000000009</v>
      </c>
      <c r="F448">
        <v>46</v>
      </c>
      <c r="G448" t="s">
        <v>29</v>
      </c>
      <c r="H448">
        <v>2245.64</v>
      </c>
      <c r="I448">
        <v>2260.81</v>
      </c>
      <c r="J448">
        <f>Table2[[#This Row],[Sales_Amount]]-(Table2[[#This Row],[Quantity_Sold]]*Table2[[#This Row],[Unit_Cost]])</f>
        <v>-94885.4</v>
      </c>
    </row>
    <row r="449" spans="1:10" x14ac:dyDescent="0.3">
      <c r="A449">
        <v>1049</v>
      </c>
      <c r="B449" s="1">
        <v>45218</v>
      </c>
      <c r="C449" t="s">
        <v>38</v>
      </c>
      <c r="D449" t="s">
        <v>25</v>
      </c>
      <c r="E449">
        <v>1966.55</v>
      </c>
      <c r="F449">
        <v>30</v>
      </c>
      <c r="G449" t="s">
        <v>29</v>
      </c>
      <c r="H449">
        <v>4697.4399999999996</v>
      </c>
      <c r="I449">
        <v>4752.24</v>
      </c>
      <c r="J449">
        <f>Table2[[#This Row],[Sales_Amount]]-(Table2[[#This Row],[Quantity_Sold]]*Table2[[#This Row],[Unit_Cost]])</f>
        <v>-138956.65</v>
      </c>
    </row>
    <row r="450" spans="1:10" x14ac:dyDescent="0.3">
      <c r="A450">
        <v>1052</v>
      </c>
      <c r="B450" s="1">
        <v>45208</v>
      </c>
      <c r="C450" t="s">
        <v>24</v>
      </c>
      <c r="D450" t="s">
        <v>21</v>
      </c>
      <c r="E450">
        <v>6757.36</v>
      </c>
      <c r="F450">
        <v>41</v>
      </c>
      <c r="G450" t="s">
        <v>35</v>
      </c>
      <c r="H450">
        <v>1509.98</v>
      </c>
      <c r="I450">
        <v>1792.83</v>
      </c>
      <c r="J450">
        <f>Table2[[#This Row],[Sales_Amount]]-(Table2[[#This Row],[Quantity_Sold]]*Table2[[#This Row],[Unit_Cost]])</f>
        <v>-55151.82</v>
      </c>
    </row>
    <row r="451" spans="1:10" x14ac:dyDescent="0.3">
      <c r="A451">
        <v>1042</v>
      </c>
      <c r="B451" s="1">
        <v>44955</v>
      </c>
      <c r="C451" t="s">
        <v>38</v>
      </c>
      <c r="D451" t="s">
        <v>15</v>
      </c>
      <c r="E451">
        <v>9772.3700000000008</v>
      </c>
      <c r="F451">
        <v>25</v>
      </c>
      <c r="G451" t="s">
        <v>26</v>
      </c>
      <c r="H451">
        <v>2403.54</v>
      </c>
      <c r="I451">
        <v>2850.56</v>
      </c>
      <c r="J451">
        <f>Table2[[#This Row],[Sales_Amount]]-(Table2[[#This Row],[Quantity_Sold]]*Table2[[#This Row],[Unit_Cost]])</f>
        <v>-50316.13</v>
      </c>
    </row>
    <row r="452" spans="1:10" x14ac:dyDescent="0.3">
      <c r="A452">
        <v>1070</v>
      </c>
      <c r="B452" s="1">
        <v>45075</v>
      </c>
      <c r="C452" t="s">
        <v>33</v>
      </c>
      <c r="D452" t="s">
        <v>25</v>
      </c>
      <c r="E452">
        <v>1108.74</v>
      </c>
      <c r="F452">
        <v>14</v>
      </c>
      <c r="G452" t="s">
        <v>16</v>
      </c>
      <c r="H452">
        <v>3796.79</v>
      </c>
      <c r="I452">
        <v>3947.5</v>
      </c>
      <c r="J452">
        <f>Table2[[#This Row],[Sales_Amount]]-(Table2[[#This Row],[Quantity_Sold]]*Table2[[#This Row],[Unit_Cost]])</f>
        <v>-52046.32</v>
      </c>
    </row>
    <row r="453" spans="1:10" x14ac:dyDescent="0.3">
      <c r="A453">
        <v>1015</v>
      </c>
      <c r="B453" s="1">
        <v>45193</v>
      </c>
      <c r="C453" t="s">
        <v>14</v>
      </c>
      <c r="D453" t="s">
        <v>34</v>
      </c>
      <c r="E453">
        <v>182.37</v>
      </c>
      <c r="F453">
        <v>35</v>
      </c>
      <c r="G453" t="s">
        <v>29</v>
      </c>
      <c r="H453">
        <v>3461.15</v>
      </c>
      <c r="I453">
        <v>3631.75</v>
      </c>
      <c r="J453">
        <f>Table2[[#This Row],[Sales_Amount]]-(Table2[[#This Row],[Quantity_Sold]]*Table2[[#This Row],[Unit_Cost]])</f>
        <v>-120957.88</v>
      </c>
    </row>
    <row r="454" spans="1:10" x14ac:dyDescent="0.3">
      <c r="A454">
        <v>1054</v>
      </c>
      <c r="B454" s="1">
        <v>45222</v>
      </c>
      <c r="C454" t="s">
        <v>24</v>
      </c>
      <c r="D454" t="s">
        <v>25</v>
      </c>
      <c r="E454">
        <v>4392.47</v>
      </c>
      <c r="F454">
        <v>48</v>
      </c>
      <c r="G454" t="s">
        <v>35</v>
      </c>
      <c r="H454">
        <v>4325.0200000000004</v>
      </c>
      <c r="I454">
        <v>4391.67</v>
      </c>
      <c r="J454">
        <f>Table2[[#This Row],[Sales_Amount]]-(Table2[[#This Row],[Quantity_Sold]]*Table2[[#This Row],[Unit_Cost]])</f>
        <v>-203208.49000000002</v>
      </c>
    </row>
    <row r="455" spans="1:10" x14ac:dyDescent="0.3">
      <c r="A455">
        <v>1060</v>
      </c>
      <c r="B455" s="1">
        <v>44937</v>
      </c>
      <c r="C455" t="s">
        <v>33</v>
      </c>
      <c r="D455" t="s">
        <v>21</v>
      </c>
      <c r="E455">
        <v>1016.99</v>
      </c>
      <c r="F455">
        <v>34</v>
      </c>
      <c r="G455" t="s">
        <v>35</v>
      </c>
      <c r="H455">
        <v>4984.21</v>
      </c>
      <c r="I455">
        <v>5184.6400000000003</v>
      </c>
      <c r="J455">
        <f>Table2[[#This Row],[Sales_Amount]]-(Table2[[#This Row],[Quantity_Sold]]*Table2[[#This Row],[Unit_Cost]])</f>
        <v>-168446.15000000002</v>
      </c>
    </row>
    <row r="456" spans="1:10" x14ac:dyDescent="0.3">
      <c r="A456">
        <v>1097</v>
      </c>
      <c r="B456" s="1">
        <v>45090</v>
      </c>
      <c r="C456" t="s">
        <v>33</v>
      </c>
      <c r="D456" t="s">
        <v>34</v>
      </c>
      <c r="E456">
        <v>7509.01</v>
      </c>
      <c r="F456">
        <v>10</v>
      </c>
      <c r="G456" t="s">
        <v>16</v>
      </c>
      <c r="H456">
        <v>2162.9499999999998</v>
      </c>
      <c r="I456">
        <v>2191.1899999999901</v>
      </c>
      <c r="J456">
        <f>Table2[[#This Row],[Sales_Amount]]-(Table2[[#This Row],[Quantity_Sold]]*Table2[[#This Row],[Unit_Cost]])</f>
        <v>-14120.49</v>
      </c>
    </row>
    <row r="457" spans="1:10" x14ac:dyDescent="0.3">
      <c r="A457">
        <v>1008</v>
      </c>
      <c r="B457" s="1">
        <v>45039</v>
      </c>
      <c r="C457" t="s">
        <v>38</v>
      </c>
      <c r="D457" t="s">
        <v>15</v>
      </c>
      <c r="E457">
        <v>9154.0300000000007</v>
      </c>
      <c r="F457">
        <v>35</v>
      </c>
      <c r="G457" t="s">
        <v>29</v>
      </c>
      <c r="H457">
        <v>600.20000000000005</v>
      </c>
      <c r="I457">
        <v>1059.82</v>
      </c>
      <c r="J457">
        <f>Table2[[#This Row],[Sales_Amount]]-(Table2[[#This Row],[Quantity_Sold]]*Table2[[#This Row],[Unit_Cost]])</f>
        <v>-11852.97</v>
      </c>
    </row>
    <row r="458" spans="1:10" x14ac:dyDescent="0.3">
      <c r="A458">
        <v>1053</v>
      </c>
      <c r="B458" s="1">
        <v>45113</v>
      </c>
      <c r="C458" t="s">
        <v>33</v>
      </c>
      <c r="D458" t="s">
        <v>34</v>
      </c>
      <c r="E458">
        <v>4396.8100000000004</v>
      </c>
      <c r="F458">
        <v>11</v>
      </c>
      <c r="G458" t="s">
        <v>35</v>
      </c>
      <c r="H458">
        <v>200.56</v>
      </c>
      <c r="I458">
        <v>540.38</v>
      </c>
      <c r="J458">
        <f>Table2[[#This Row],[Sales_Amount]]-(Table2[[#This Row],[Quantity_Sold]]*Table2[[#This Row],[Unit_Cost]])</f>
        <v>2190.6500000000005</v>
      </c>
    </row>
    <row r="459" spans="1:10" x14ac:dyDescent="0.3">
      <c r="A459">
        <v>1060</v>
      </c>
      <c r="B459" s="1">
        <v>45221</v>
      </c>
      <c r="C459" t="s">
        <v>14</v>
      </c>
      <c r="D459" t="s">
        <v>15</v>
      </c>
      <c r="E459">
        <v>2661.25</v>
      </c>
      <c r="F459">
        <v>11</v>
      </c>
      <c r="G459" t="s">
        <v>16</v>
      </c>
      <c r="H459">
        <v>3648.04</v>
      </c>
      <c r="I459">
        <v>4143.51</v>
      </c>
      <c r="J459">
        <f>Table2[[#This Row],[Sales_Amount]]-(Table2[[#This Row],[Quantity_Sold]]*Table2[[#This Row],[Unit_Cost]])</f>
        <v>-37467.19</v>
      </c>
    </row>
    <row r="460" spans="1:10" x14ac:dyDescent="0.3">
      <c r="A460">
        <v>1005</v>
      </c>
      <c r="B460" s="1">
        <v>45158</v>
      </c>
      <c r="C460" t="s">
        <v>14</v>
      </c>
      <c r="D460" t="s">
        <v>15</v>
      </c>
      <c r="E460">
        <v>4400.59</v>
      </c>
      <c r="F460">
        <v>21</v>
      </c>
      <c r="G460" t="s">
        <v>26</v>
      </c>
      <c r="H460">
        <v>4376.37</v>
      </c>
      <c r="I460">
        <v>4818.95</v>
      </c>
      <c r="J460">
        <f>Table2[[#This Row],[Sales_Amount]]-(Table2[[#This Row],[Quantity_Sold]]*Table2[[#This Row],[Unit_Cost]])</f>
        <v>-87503.180000000008</v>
      </c>
    </row>
    <row r="461" spans="1:10" x14ac:dyDescent="0.3">
      <c r="A461">
        <v>1068</v>
      </c>
      <c r="B461" s="1">
        <v>45153</v>
      </c>
      <c r="C461" t="s">
        <v>42</v>
      </c>
      <c r="D461" t="s">
        <v>25</v>
      </c>
      <c r="E461">
        <v>7262.13</v>
      </c>
      <c r="F461">
        <v>21</v>
      </c>
      <c r="G461" t="s">
        <v>26</v>
      </c>
      <c r="H461">
        <v>1142.53</v>
      </c>
      <c r="I461">
        <v>1384.3</v>
      </c>
      <c r="J461">
        <f>Table2[[#This Row],[Sales_Amount]]-(Table2[[#This Row],[Quantity_Sold]]*Table2[[#This Row],[Unit_Cost]])</f>
        <v>-16731</v>
      </c>
    </row>
    <row r="462" spans="1:10" x14ac:dyDescent="0.3">
      <c r="A462">
        <v>1006</v>
      </c>
      <c r="B462" s="1">
        <v>45236</v>
      </c>
      <c r="C462" t="s">
        <v>14</v>
      </c>
      <c r="D462" t="s">
        <v>25</v>
      </c>
      <c r="E462">
        <v>189.64</v>
      </c>
      <c r="F462">
        <v>22</v>
      </c>
      <c r="G462" t="s">
        <v>26</v>
      </c>
      <c r="H462">
        <v>834.32</v>
      </c>
      <c r="I462">
        <v>1098.97</v>
      </c>
      <c r="J462">
        <f>Table2[[#This Row],[Sales_Amount]]-(Table2[[#This Row],[Quantity_Sold]]*Table2[[#This Row],[Unit_Cost]])</f>
        <v>-18165.400000000001</v>
      </c>
    </row>
    <row r="463" spans="1:10" x14ac:dyDescent="0.3">
      <c r="A463">
        <v>1096</v>
      </c>
      <c r="B463" s="1">
        <v>45024</v>
      </c>
      <c r="C463" t="s">
        <v>33</v>
      </c>
      <c r="D463" t="s">
        <v>25</v>
      </c>
      <c r="E463">
        <v>5935.59</v>
      </c>
      <c r="F463">
        <v>45</v>
      </c>
      <c r="G463" t="s">
        <v>29</v>
      </c>
      <c r="H463">
        <v>357.92</v>
      </c>
      <c r="I463">
        <v>461.3</v>
      </c>
      <c r="J463">
        <f>Table2[[#This Row],[Sales_Amount]]-(Table2[[#This Row],[Quantity_Sold]]*Table2[[#This Row],[Unit_Cost]])</f>
        <v>-10170.810000000001</v>
      </c>
    </row>
    <row r="464" spans="1:10" x14ac:dyDescent="0.3">
      <c r="A464">
        <v>1094</v>
      </c>
      <c r="B464" s="1">
        <v>44981</v>
      </c>
      <c r="C464" t="s">
        <v>14</v>
      </c>
      <c r="D464" t="s">
        <v>21</v>
      </c>
      <c r="E464">
        <v>6171.59</v>
      </c>
      <c r="F464">
        <v>7</v>
      </c>
      <c r="G464" t="s">
        <v>16</v>
      </c>
      <c r="H464">
        <v>4122.38</v>
      </c>
      <c r="I464">
        <v>4358.78</v>
      </c>
      <c r="J464">
        <f>Table2[[#This Row],[Sales_Amount]]-(Table2[[#This Row],[Quantity_Sold]]*Table2[[#This Row],[Unit_Cost]])</f>
        <v>-22685.07</v>
      </c>
    </row>
    <row r="465" spans="1:10" x14ac:dyDescent="0.3">
      <c r="A465">
        <v>1047</v>
      </c>
      <c r="B465" s="1">
        <v>45037</v>
      </c>
      <c r="C465" t="s">
        <v>38</v>
      </c>
      <c r="D465" t="s">
        <v>21</v>
      </c>
      <c r="E465">
        <v>6413.11</v>
      </c>
      <c r="F465">
        <v>17</v>
      </c>
      <c r="G465" t="s">
        <v>16</v>
      </c>
      <c r="H465">
        <v>1591.34</v>
      </c>
      <c r="I465">
        <v>2043.82</v>
      </c>
      <c r="J465">
        <f>Table2[[#This Row],[Sales_Amount]]-(Table2[[#This Row],[Quantity_Sold]]*Table2[[#This Row],[Unit_Cost]])</f>
        <v>-20639.669999999998</v>
      </c>
    </row>
    <row r="466" spans="1:10" x14ac:dyDescent="0.3">
      <c r="A466">
        <v>1099</v>
      </c>
      <c r="B466" s="1">
        <v>45078</v>
      </c>
      <c r="C466" t="s">
        <v>42</v>
      </c>
      <c r="D466" t="s">
        <v>25</v>
      </c>
      <c r="E466">
        <v>2496.02</v>
      </c>
      <c r="F466">
        <v>2</v>
      </c>
      <c r="G466" t="s">
        <v>35</v>
      </c>
      <c r="H466">
        <v>2038.4</v>
      </c>
      <c r="I466">
        <v>2073.3200000000002</v>
      </c>
      <c r="J466">
        <f>Table2[[#This Row],[Sales_Amount]]-(Table2[[#This Row],[Quantity_Sold]]*Table2[[#This Row],[Unit_Cost]])</f>
        <v>-1580.7800000000002</v>
      </c>
    </row>
    <row r="467" spans="1:10" x14ac:dyDescent="0.3">
      <c r="A467">
        <v>1055</v>
      </c>
      <c r="B467" s="1">
        <v>45172</v>
      </c>
      <c r="C467" t="s">
        <v>33</v>
      </c>
      <c r="D467" t="s">
        <v>21</v>
      </c>
      <c r="E467">
        <v>7169.12</v>
      </c>
      <c r="F467">
        <v>12</v>
      </c>
      <c r="G467" t="s">
        <v>35</v>
      </c>
      <c r="H467">
        <v>2538.61</v>
      </c>
      <c r="I467">
        <v>2971.75</v>
      </c>
      <c r="J467">
        <f>Table2[[#This Row],[Sales_Amount]]-(Table2[[#This Row],[Quantity_Sold]]*Table2[[#This Row],[Unit_Cost]])</f>
        <v>-23294.2</v>
      </c>
    </row>
    <row r="468" spans="1:10" x14ac:dyDescent="0.3">
      <c r="A468">
        <v>1040</v>
      </c>
      <c r="B468" s="1">
        <v>44995</v>
      </c>
      <c r="C468" t="s">
        <v>42</v>
      </c>
      <c r="D468" t="s">
        <v>34</v>
      </c>
      <c r="E468">
        <v>1004.78</v>
      </c>
      <c r="F468">
        <v>42</v>
      </c>
      <c r="G468" t="s">
        <v>35</v>
      </c>
      <c r="H468">
        <v>4205.29</v>
      </c>
      <c r="I468">
        <v>4382.3500000000004</v>
      </c>
      <c r="J468">
        <f>Table2[[#This Row],[Sales_Amount]]-(Table2[[#This Row],[Quantity_Sold]]*Table2[[#This Row],[Unit_Cost]])</f>
        <v>-175617.4</v>
      </c>
    </row>
    <row r="469" spans="1:10" x14ac:dyDescent="0.3">
      <c r="A469">
        <v>1052</v>
      </c>
      <c r="B469" s="1">
        <v>45238</v>
      </c>
      <c r="C469" t="s">
        <v>33</v>
      </c>
      <c r="D469" t="s">
        <v>34</v>
      </c>
      <c r="E469">
        <v>2072.7800000000002</v>
      </c>
      <c r="F469">
        <v>18</v>
      </c>
      <c r="G469" t="s">
        <v>16</v>
      </c>
      <c r="H469">
        <v>3271.62</v>
      </c>
      <c r="I469">
        <v>3722.38</v>
      </c>
      <c r="J469">
        <f>Table2[[#This Row],[Sales_Amount]]-(Table2[[#This Row],[Quantity_Sold]]*Table2[[#This Row],[Unit_Cost]])</f>
        <v>-56816.38</v>
      </c>
    </row>
    <row r="470" spans="1:10" x14ac:dyDescent="0.3">
      <c r="A470">
        <v>1016</v>
      </c>
      <c r="B470" s="1">
        <v>45215</v>
      </c>
      <c r="C470" t="s">
        <v>38</v>
      </c>
      <c r="D470" t="s">
        <v>21</v>
      </c>
      <c r="E470">
        <v>8786.9500000000007</v>
      </c>
      <c r="F470">
        <v>11</v>
      </c>
      <c r="G470" t="s">
        <v>35</v>
      </c>
      <c r="H470">
        <v>3094.57</v>
      </c>
      <c r="I470">
        <v>3565.6</v>
      </c>
      <c r="J470">
        <f>Table2[[#This Row],[Sales_Amount]]-(Table2[[#This Row],[Quantity_Sold]]*Table2[[#This Row],[Unit_Cost]])</f>
        <v>-25253.320000000003</v>
      </c>
    </row>
    <row r="471" spans="1:10" x14ac:dyDescent="0.3">
      <c r="A471">
        <v>1013</v>
      </c>
      <c r="B471" s="1">
        <v>45176</v>
      </c>
      <c r="C471" t="s">
        <v>42</v>
      </c>
      <c r="D471" t="s">
        <v>21</v>
      </c>
      <c r="E471">
        <v>7413.36</v>
      </c>
      <c r="F471">
        <v>16</v>
      </c>
      <c r="G471" t="s">
        <v>16</v>
      </c>
      <c r="H471">
        <v>919.58</v>
      </c>
      <c r="I471">
        <v>1258.3</v>
      </c>
      <c r="J471">
        <f>Table2[[#This Row],[Sales_Amount]]-(Table2[[#This Row],[Quantity_Sold]]*Table2[[#This Row],[Unit_Cost]])</f>
        <v>-7299.920000000001</v>
      </c>
    </row>
    <row r="472" spans="1:10" x14ac:dyDescent="0.3">
      <c r="A472">
        <v>1030</v>
      </c>
      <c r="B472" s="1">
        <v>44962</v>
      </c>
      <c r="C472" t="s">
        <v>24</v>
      </c>
      <c r="D472" t="s">
        <v>34</v>
      </c>
      <c r="E472">
        <v>236.08</v>
      </c>
      <c r="F472">
        <v>49</v>
      </c>
      <c r="G472" t="s">
        <v>16</v>
      </c>
      <c r="H472">
        <v>2590.29</v>
      </c>
      <c r="I472">
        <v>2925.86</v>
      </c>
      <c r="J472">
        <f>Table2[[#This Row],[Sales_Amount]]-(Table2[[#This Row],[Quantity_Sold]]*Table2[[#This Row],[Unit_Cost]])</f>
        <v>-126688.12999999999</v>
      </c>
    </row>
    <row r="473" spans="1:10" x14ac:dyDescent="0.3">
      <c r="A473">
        <v>1019</v>
      </c>
      <c r="B473" s="1">
        <v>45165</v>
      </c>
      <c r="C473" t="s">
        <v>33</v>
      </c>
      <c r="D473" t="s">
        <v>15</v>
      </c>
      <c r="E473">
        <v>2558.92</v>
      </c>
      <c r="F473">
        <v>18</v>
      </c>
      <c r="G473" t="s">
        <v>26</v>
      </c>
      <c r="H473">
        <v>3591.14</v>
      </c>
      <c r="I473">
        <v>3822.99</v>
      </c>
      <c r="J473">
        <f>Table2[[#This Row],[Sales_Amount]]-(Table2[[#This Row],[Quantity_Sold]]*Table2[[#This Row],[Unit_Cost]])</f>
        <v>-62081.599999999999</v>
      </c>
    </row>
    <row r="474" spans="1:10" x14ac:dyDescent="0.3">
      <c r="A474">
        <v>1017</v>
      </c>
      <c r="B474" s="1">
        <v>45074</v>
      </c>
      <c r="C474" t="s">
        <v>24</v>
      </c>
      <c r="D474" t="s">
        <v>34</v>
      </c>
      <c r="E474">
        <v>2222.62</v>
      </c>
      <c r="F474">
        <v>35</v>
      </c>
      <c r="G474" t="s">
        <v>35</v>
      </c>
      <c r="H474">
        <v>4867.6400000000003</v>
      </c>
      <c r="I474">
        <v>5287.05</v>
      </c>
      <c r="J474">
        <f>Table2[[#This Row],[Sales_Amount]]-(Table2[[#This Row],[Quantity_Sold]]*Table2[[#This Row],[Unit_Cost]])</f>
        <v>-168144.78000000003</v>
      </c>
    </row>
    <row r="475" spans="1:10" x14ac:dyDescent="0.3">
      <c r="A475">
        <v>1063</v>
      </c>
      <c r="B475" s="1">
        <v>45153</v>
      </c>
      <c r="C475" t="s">
        <v>42</v>
      </c>
      <c r="D475" t="s">
        <v>34</v>
      </c>
      <c r="E475">
        <v>2780.98</v>
      </c>
      <c r="F475">
        <v>26</v>
      </c>
      <c r="G475" t="s">
        <v>26</v>
      </c>
      <c r="H475">
        <v>1046.96</v>
      </c>
      <c r="I475">
        <v>1528.15</v>
      </c>
      <c r="J475">
        <f>Table2[[#This Row],[Sales_Amount]]-(Table2[[#This Row],[Quantity_Sold]]*Table2[[#This Row],[Unit_Cost]])</f>
        <v>-24439.98</v>
      </c>
    </row>
    <row r="476" spans="1:10" x14ac:dyDescent="0.3">
      <c r="A476">
        <v>1019</v>
      </c>
      <c r="B476" s="1">
        <v>45170</v>
      </c>
      <c r="C476" t="s">
        <v>24</v>
      </c>
      <c r="D476" t="s">
        <v>21</v>
      </c>
      <c r="E476">
        <v>2550.84</v>
      </c>
      <c r="F476">
        <v>16</v>
      </c>
      <c r="G476" t="s">
        <v>29</v>
      </c>
      <c r="H476">
        <v>97.24</v>
      </c>
      <c r="I476">
        <v>487.03</v>
      </c>
      <c r="J476">
        <f>Table2[[#This Row],[Sales_Amount]]-(Table2[[#This Row],[Quantity_Sold]]*Table2[[#This Row],[Unit_Cost]])</f>
        <v>995.00000000000023</v>
      </c>
    </row>
    <row r="477" spans="1:10" x14ac:dyDescent="0.3">
      <c r="A477">
        <v>1092</v>
      </c>
      <c r="B477" s="1">
        <v>45263</v>
      </c>
      <c r="C477" t="s">
        <v>24</v>
      </c>
      <c r="D477" t="s">
        <v>34</v>
      </c>
      <c r="E477">
        <v>719.01</v>
      </c>
      <c r="F477">
        <v>6</v>
      </c>
      <c r="G477" t="s">
        <v>29</v>
      </c>
      <c r="H477">
        <v>422.74</v>
      </c>
      <c r="I477">
        <v>737.49</v>
      </c>
      <c r="J477">
        <f>Table2[[#This Row],[Sales_Amount]]-(Table2[[#This Row],[Quantity_Sold]]*Table2[[#This Row],[Unit_Cost]])</f>
        <v>-1817.43</v>
      </c>
    </row>
    <row r="478" spans="1:10" x14ac:dyDescent="0.3">
      <c r="A478">
        <v>1058</v>
      </c>
      <c r="B478" s="1">
        <v>45291</v>
      </c>
      <c r="C478" t="s">
        <v>42</v>
      </c>
      <c r="D478" t="s">
        <v>21</v>
      </c>
      <c r="E478">
        <v>4643.51</v>
      </c>
      <c r="F478">
        <v>44</v>
      </c>
      <c r="G478" t="s">
        <v>29</v>
      </c>
      <c r="H478">
        <v>1910.47</v>
      </c>
      <c r="I478">
        <v>2217.8000000000002</v>
      </c>
      <c r="J478">
        <f>Table2[[#This Row],[Sales_Amount]]-(Table2[[#This Row],[Quantity_Sold]]*Table2[[#This Row],[Unit_Cost]])</f>
        <v>-79417.170000000013</v>
      </c>
    </row>
    <row r="479" spans="1:10" x14ac:dyDescent="0.3">
      <c r="A479">
        <v>1055</v>
      </c>
      <c r="B479" s="1">
        <v>45127</v>
      </c>
      <c r="C479" t="s">
        <v>38</v>
      </c>
      <c r="D479" t="s">
        <v>21</v>
      </c>
      <c r="E479">
        <v>7354.06</v>
      </c>
      <c r="F479">
        <v>43</v>
      </c>
      <c r="G479" t="s">
        <v>16</v>
      </c>
      <c r="H479">
        <v>4111.7</v>
      </c>
      <c r="I479">
        <v>4537.9399999999996</v>
      </c>
      <c r="J479">
        <f>Table2[[#This Row],[Sales_Amount]]-(Table2[[#This Row],[Quantity_Sold]]*Table2[[#This Row],[Unit_Cost]])</f>
        <v>-169449.04</v>
      </c>
    </row>
    <row r="480" spans="1:10" x14ac:dyDescent="0.3">
      <c r="A480">
        <v>1090</v>
      </c>
      <c r="B480" s="1">
        <v>45080</v>
      </c>
      <c r="C480" t="s">
        <v>24</v>
      </c>
      <c r="D480" t="s">
        <v>25</v>
      </c>
      <c r="E480">
        <v>6106.64</v>
      </c>
      <c r="F480">
        <v>47</v>
      </c>
      <c r="G480" t="s">
        <v>16</v>
      </c>
      <c r="H480">
        <v>85.35</v>
      </c>
      <c r="I480">
        <v>360.539999999999</v>
      </c>
      <c r="J480">
        <f>Table2[[#This Row],[Sales_Amount]]-(Table2[[#This Row],[Quantity_Sold]]*Table2[[#This Row],[Unit_Cost]])</f>
        <v>2095.1900000000005</v>
      </c>
    </row>
    <row r="481" spans="1:10" x14ac:dyDescent="0.3">
      <c r="A481">
        <v>1090</v>
      </c>
      <c r="B481" s="1">
        <v>44999</v>
      </c>
      <c r="C481" t="s">
        <v>24</v>
      </c>
      <c r="D481" t="s">
        <v>34</v>
      </c>
      <c r="E481">
        <v>6761.43</v>
      </c>
      <c r="F481">
        <v>47</v>
      </c>
      <c r="G481" t="s">
        <v>16</v>
      </c>
      <c r="H481">
        <v>2310.8200000000002</v>
      </c>
      <c r="I481">
        <v>2714.71</v>
      </c>
      <c r="J481">
        <f>Table2[[#This Row],[Sales_Amount]]-(Table2[[#This Row],[Quantity_Sold]]*Table2[[#This Row],[Unit_Cost]])</f>
        <v>-101847.11000000002</v>
      </c>
    </row>
    <row r="482" spans="1:10" x14ac:dyDescent="0.3">
      <c r="A482">
        <v>1062</v>
      </c>
      <c r="B482" s="1">
        <v>45127</v>
      </c>
      <c r="C482" t="s">
        <v>38</v>
      </c>
      <c r="D482" t="s">
        <v>15</v>
      </c>
      <c r="E482">
        <v>903.38</v>
      </c>
      <c r="F482">
        <v>48</v>
      </c>
      <c r="G482" t="s">
        <v>35</v>
      </c>
      <c r="H482">
        <v>1679.69</v>
      </c>
      <c r="I482">
        <v>1939.04</v>
      </c>
      <c r="J482">
        <f>Table2[[#This Row],[Sales_Amount]]-(Table2[[#This Row],[Quantity_Sold]]*Table2[[#This Row],[Unit_Cost]])</f>
        <v>-79721.739999999991</v>
      </c>
    </row>
    <row r="483" spans="1:10" x14ac:dyDescent="0.3">
      <c r="A483">
        <v>1023</v>
      </c>
      <c r="B483" s="1">
        <v>45222</v>
      </c>
      <c r="C483" t="s">
        <v>24</v>
      </c>
      <c r="D483" t="s">
        <v>25</v>
      </c>
      <c r="E483">
        <v>9519.76</v>
      </c>
      <c r="F483">
        <v>42</v>
      </c>
      <c r="G483" t="s">
        <v>26</v>
      </c>
      <c r="H483">
        <v>309.77999999999997</v>
      </c>
      <c r="I483">
        <v>350.38</v>
      </c>
      <c r="J483">
        <f>Table2[[#This Row],[Sales_Amount]]-(Table2[[#This Row],[Quantity_Sold]]*Table2[[#This Row],[Unit_Cost]])</f>
        <v>-3490.9999999999982</v>
      </c>
    </row>
    <row r="484" spans="1:10" x14ac:dyDescent="0.3">
      <c r="A484">
        <v>1009</v>
      </c>
      <c r="B484" s="1">
        <v>44943</v>
      </c>
      <c r="C484" t="s">
        <v>24</v>
      </c>
      <c r="D484" t="s">
        <v>21</v>
      </c>
      <c r="E484">
        <v>8401.07</v>
      </c>
      <c r="F484">
        <v>12</v>
      </c>
      <c r="G484" t="s">
        <v>16</v>
      </c>
      <c r="H484">
        <v>2278.67</v>
      </c>
      <c r="I484">
        <v>2476.8000000000002</v>
      </c>
      <c r="J484">
        <f>Table2[[#This Row],[Sales_Amount]]-(Table2[[#This Row],[Quantity_Sold]]*Table2[[#This Row],[Unit_Cost]])</f>
        <v>-18942.97</v>
      </c>
    </row>
    <row r="485" spans="1:10" x14ac:dyDescent="0.3">
      <c r="A485">
        <v>1012</v>
      </c>
      <c r="B485" s="1">
        <v>45055</v>
      </c>
      <c r="C485" t="s">
        <v>24</v>
      </c>
      <c r="D485" t="s">
        <v>21</v>
      </c>
      <c r="E485">
        <v>8070.39</v>
      </c>
      <c r="F485">
        <v>13</v>
      </c>
      <c r="G485" t="s">
        <v>26</v>
      </c>
      <c r="H485">
        <v>1311.01</v>
      </c>
      <c r="I485">
        <v>1538.79</v>
      </c>
      <c r="J485">
        <f>Table2[[#This Row],[Sales_Amount]]-(Table2[[#This Row],[Quantity_Sold]]*Table2[[#This Row],[Unit_Cost]])</f>
        <v>-8972.7400000000016</v>
      </c>
    </row>
    <row r="486" spans="1:10" x14ac:dyDescent="0.3">
      <c r="A486">
        <v>1001</v>
      </c>
      <c r="B486" s="1">
        <v>45143</v>
      </c>
      <c r="C486" t="s">
        <v>14</v>
      </c>
      <c r="D486" t="s">
        <v>15</v>
      </c>
      <c r="E486">
        <v>8247.5400000000009</v>
      </c>
      <c r="F486">
        <v>4</v>
      </c>
      <c r="G486" t="s">
        <v>26</v>
      </c>
      <c r="H486">
        <v>1791.83</v>
      </c>
      <c r="I486">
        <v>1871.22</v>
      </c>
      <c r="J486">
        <f>Table2[[#This Row],[Sales_Amount]]-(Table2[[#This Row],[Quantity_Sold]]*Table2[[#This Row],[Unit_Cost]])</f>
        <v>1080.2200000000012</v>
      </c>
    </row>
    <row r="487" spans="1:10" x14ac:dyDescent="0.3">
      <c r="A487">
        <v>1058</v>
      </c>
      <c r="B487" s="1">
        <v>44987</v>
      </c>
      <c r="C487" t="s">
        <v>38</v>
      </c>
      <c r="D487" t="s">
        <v>21</v>
      </c>
      <c r="E487">
        <v>9333.83</v>
      </c>
      <c r="F487">
        <v>39</v>
      </c>
      <c r="G487" t="s">
        <v>26</v>
      </c>
      <c r="H487">
        <v>3542.8</v>
      </c>
      <c r="I487">
        <v>3603.02</v>
      </c>
      <c r="J487">
        <f>Table2[[#This Row],[Sales_Amount]]-(Table2[[#This Row],[Quantity_Sold]]*Table2[[#This Row],[Unit_Cost]])</f>
        <v>-128835.37000000001</v>
      </c>
    </row>
    <row r="488" spans="1:10" x14ac:dyDescent="0.3">
      <c r="A488">
        <v>1001</v>
      </c>
      <c r="B488" s="1">
        <v>45030</v>
      </c>
      <c r="C488" t="s">
        <v>24</v>
      </c>
      <c r="D488" t="s">
        <v>34</v>
      </c>
      <c r="E488">
        <v>5488.11</v>
      </c>
      <c r="F488">
        <v>2</v>
      </c>
      <c r="G488" t="s">
        <v>35</v>
      </c>
      <c r="H488">
        <v>2631.68</v>
      </c>
      <c r="I488">
        <v>2904.06</v>
      </c>
      <c r="J488">
        <f>Table2[[#This Row],[Sales_Amount]]-(Table2[[#This Row],[Quantity_Sold]]*Table2[[#This Row],[Unit_Cost]])</f>
        <v>224.75</v>
      </c>
    </row>
    <row r="489" spans="1:10" x14ac:dyDescent="0.3">
      <c r="A489">
        <v>1034</v>
      </c>
      <c r="B489" s="1">
        <v>44968</v>
      </c>
      <c r="C489" t="s">
        <v>38</v>
      </c>
      <c r="D489" t="s">
        <v>25</v>
      </c>
      <c r="E489">
        <v>2082.79</v>
      </c>
      <c r="F489">
        <v>26</v>
      </c>
      <c r="G489" t="s">
        <v>35</v>
      </c>
      <c r="H489">
        <v>667</v>
      </c>
      <c r="I489">
        <v>718.72</v>
      </c>
      <c r="J489">
        <f>Table2[[#This Row],[Sales_Amount]]-(Table2[[#This Row],[Quantity_Sold]]*Table2[[#This Row],[Unit_Cost]])</f>
        <v>-15259.21</v>
      </c>
    </row>
    <row r="490" spans="1:10" x14ac:dyDescent="0.3">
      <c r="A490">
        <v>1096</v>
      </c>
      <c r="B490" s="1">
        <v>44951</v>
      </c>
      <c r="C490" t="s">
        <v>33</v>
      </c>
      <c r="D490" t="s">
        <v>21</v>
      </c>
      <c r="E490">
        <v>6206.16</v>
      </c>
      <c r="F490">
        <v>27</v>
      </c>
      <c r="G490" t="s">
        <v>29</v>
      </c>
      <c r="H490">
        <v>4809</v>
      </c>
      <c r="I490">
        <v>4967.4399999999996</v>
      </c>
      <c r="J490">
        <f>Table2[[#This Row],[Sales_Amount]]-(Table2[[#This Row],[Quantity_Sold]]*Table2[[#This Row],[Unit_Cost]])</f>
        <v>-123636.84</v>
      </c>
    </row>
    <row r="491" spans="1:10" x14ac:dyDescent="0.3">
      <c r="A491">
        <v>1048</v>
      </c>
      <c r="B491" s="1">
        <v>44965</v>
      </c>
      <c r="C491" t="s">
        <v>33</v>
      </c>
      <c r="D491" t="s">
        <v>21</v>
      </c>
      <c r="E491">
        <v>7454.53</v>
      </c>
      <c r="F491">
        <v>27</v>
      </c>
      <c r="G491" t="s">
        <v>29</v>
      </c>
      <c r="H491">
        <v>3197.76</v>
      </c>
      <c r="I491">
        <v>3572.61</v>
      </c>
      <c r="J491">
        <f>Table2[[#This Row],[Sales_Amount]]-(Table2[[#This Row],[Quantity_Sold]]*Table2[[#This Row],[Unit_Cost]])</f>
        <v>-78884.990000000005</v>
      </c>
    </row>
    <row r="492" spans="1:10" x14ac:dyDescent="0.3">
      <c r="A492">
        <v>1089</v>
      </c>
      <c r="B492" s="1">
        <v>45217</v>
      </c>
      <c r="C492" t="s">
        <v>24</v>
      </c>
      <c r="D492" t="s">
        <v>15</v>
      </c>
      <c r="E492">
        <v>7405.38</v>
      </c>
      <c r="F492">
        <v>15</v>
      </c>
      <c r="G492" t="s">
        <v>26</v>
      </c>
      <c r="H492">
        <v>3841.05</v>
      </c>
      <c r="I492">
        <v>4323.62</v>
      </c>
      <c r="J492">
        <f>Table2[[#This Row],[Sales_Amount]]-(Table2[[#This Row],[Quantity_Sold]]*Table2[[#This Row],[Unit_Cost]])</f>
        <v>-50210.37</v>
      </c>
    </row>
    <row r="493" spans="1:10" x14ac:dyDescent="0.3">
      <c r="A493">
        <v>1001</v>
      </c>
      <c r="B493" s="1">
        <v>45057</v>
      </c>
      <c r="C493" t="s">
        <v>38</v>
      </c>
      <c r="D493" t="s">
        <v>34</v>
      </c>
      <c r="E493">
        <v>5262.35</v>
      </c>
      <c r="F493">
        <v>8</v>
      </c>
      <c r="G493" t="s">
        <v>29</v>
      </c>
      <c r="H493">
        <v>442.11</v>
      </c>
      <c r="I493">
        <v>803.87</v>
      </c>
      <c r="J493">
        <f>Table2[[#This Row],[Sales_Amount]]-(Table2[[#This Row],[Quantity_Sold]]*Table2[[#This Row],[Unit_Cost]])</f>
        <v>1725.4700000000003</v>
      </c>
    </row>
    <row r="494" spans="1:10" x14ac:dyDescent="0.3">
      <c r="A494">
        <v>1016</v>
      </c>
      <c r="B494" s="1">
        <v>45155</v>
      </c>
      <c r="C494" t="s">
        <v>38</v>
      </c>
      <c r="D494" t="s">
        <v>21</v>
      </c>
      <c r="E494">
        <v>777.74</v>
      </c>
      <c r="F494">
        <v>7</v>
      </c>
      <c r="G494" t="s">
        <v>26</v>
      </c>
      <c r="H494">
        <v>282.94</v>
      </c>
      <c r="I494">
        <v>779.32999999999902</v>
      </c>
      <c r="J494">
        <f>Table2[[#This Row],[Sales_Amount]]-(Table2[[#This Row],[Quantity_Sold]]*Table2[[#This Row],[Unit_Cost]])</f>
        <v>-1202.8399999999999</v>
      </c>
    </row>
    <row r="495" spans="1:10" x14ac:dyDescent="0.3">
      <c r="A495">
        <v>1061</v>
      </c>
      <c r="B495" s="1">
        <v>45034</v>
      </c>
      <c r="C495" t="s">
        <v>38</v>
      </c>
      <c r="D495" t="s">
        <v>15</v>
      </c>
      <c r="E495">
        <v>3774.02</v>
      </c>
      <c r="F495">
        <v>47</v>
      </c>
      <c r="G495" t="s">
        <v>35</v>
      </c>
      <c r="H495">
        <v>146.27000000000001</v>
      </c>
      <c r="I495">
        <v>498.46</v>
      </c>
      <c r="J495">
        <f>Table2[[#This Row],[Sales_Amount]]-(Table2[[#This Row],[Quantity_Sold]]*Table2[[#This Row],[Unit_Cost]])</f>
        <v>-3100.6700000000005</v>
      </c>
    </row>
    <row r="496" spans="1:10" x14ac:dyDescent="0.3">
      <c r="A496">
        <v>1064</v>
      </c>
      <c r="B496" s="1">
        <v>45098</v>
      </c>
      <c r="C496" t="s">
        <v>14</v>
      </c>
      <c r="D496" t="s">
        <v>21</v>
      </c>
      <c r="E496">
        <v>9215.59</v>
      </c>
      <c r="F496">
        <v>46</v>
      </c>
      <c r="G496" t="s">
        <v>35</v>
      </c>
      <c r="H496">
        <v>984.53</v>
      </c>
      <c r="I496">
        <v>1138.49</v>
      </c>
      <c r="J496">
        <f>Table2[[#This Row],[Sales_Amount]]-(Table2[[#This Row],[Quantity_Sold]]*Table2[[#This Row],[Unit_Cost]])</f>
        <v>-36072.789999999994</v>
      </c>
    </row>
    <row r="497" spans="1:10" x14ac:dyDescent="0.3">
      <c r="A497">
        <v>1063</v>
      </c>
      <c r="B497" s="1">
        <v>45028</v>
      </c>
      <c r="C497" t="s">
        <v>33</v>
      </c>
      <c r="D497" t="s">
        <v>15</v>
      </c>
      <c r="E497">
        <v>5886.04</v>
      </c>
      <c r="F497">
        <v>40</v>
      </c>
      <c r="G497" t="s">
        <v>35</v>
      </c>
      <c r="H497">
        <v>2101.3200000000002</v>
      </c>
      <c r="I497">
        <v>2440.63</v>
      </c>
      <c r="J497">
        <f>Table2[[#This Row],[Sales_Amount]]-(Table2[[#This Row],[Quantity_Sold]]*Table2[[#This Row],[Unit_Cost]])</f>
        <v>-78166.760000000009</v>
      </c>
    </row>
    <row r="498" spans="1:10" x14ac:dyDescent="0.3">
      <c r="A498">
        <v>1069</v>
      </c>
      <c r="B498" s="1">
        <v>45280</v>
      </c>
      <c r="C498" t="s">
        <v>38</v>
      </c>
      <c r="D498" t="s">
        <v>15</v>
      </c>
      <c r="E498">
        <v>5429.49</v>
      </c>
      <c r="F498">
        <v>12</v>
      </c>
      <c r="G498" t="s">
        <v>16</v>
      </c>
      <c r="H498">
        <v>4682.34</v>
      </c>
      <c r="I498">
        <v>5036.3999999999996</v>
      </c>
      <c r="J498">
        <f>Table2[[#This Row],[Sales_Amount]]-(Table2[[#This Row],[Quantity_Sold]]*Table2[[#This Row],[Unit_Cost]])</f>
        <v>-50758.590000000004</v>
      </c>
    </row>
    <row r="499" spans="1:10" x14ac:dyDescent="0.3">
      <c r="A499">
        <v>1022</v>
      </c>
      <c r="B499" s="1">
        <v>44938</v>
      </c>
      <c r="C499" t="s">
        <v>38</v>
      </c>
      <c r="D499" t="s">
        <v>34</v>
      </c>
      <c r="E499">
        <v>2761.65</v>
      </c>
      <c r="F499">
        <v>13</v>
      </c>
      <c r="G499" t="s">
        <v>26</v>
      </c>
      <c r="H499">
        <v>2312.4499999999998</v>
      </c>
      <c r="I499">
        <v>2504.6</v>
      </c>
      <c r="J499">
        <f>Table2[[#This Row],[Sales_Amount]]-(Table2[[#This Row],[Quantity_Sold]]*Table2[[#This Row],[Unit_Cost]])</f>
        <v>-27300.199999999997</v>
      </c>
    </row>
    <row r="500" spans="1:10" x14ac:dyDescent="0.3">
      <c r="A500">
        <v>1093</v>
      </c>
      <c r="B500" s="1">
        <v>45201</v>
      </c>
      <c r="C500" t="s">
        <v>14</v>
      </c>
      <c r="D500" t="s">
        <v>21</v>
      </c>
      <c r="E500">
        <v>3747.64</v>
      </c>
      <c r="F500">
        <v>43</v>
      </c>
      <c r="G500" t="s">
        <v>35</v>
      </c>
      <c r="H500">
        <v>1486.76</v>
      </c>
      <c r="I500">
        <v>1505.44</v>
      </c>
      <c r="J500">
        <f>Table2[[#This Row],[Sales_Amount]]-(Table2[[#This Row],[Quantity_Sold]]*Table2[[#This Row],[Unit_Cost]])</f>
        <v>-60183.040000000001</v>
      </c>
    </row>
    <row r="501" spans="1:10" x14ac:dyDescent="0.3">
      <c r="A501">
        <v>1067</v>
      </c>
      <c r="B501" s="1">
        <v>45027</v>
      </c>
      <c r="C501" t="s">
        <v>14</v>
      </c>
      <c r="D501" t="s">
        <v>34</v>
      </c>
      <c r="E501">
        <v>8963.93</v>
      </c>
      <c r="F501">
        <v>17</v>
      </c>
      <c r="G501" t="s">
        <v>26</v>
      </c>
      <c r="H501">
        <v>2831.58</v>
      </c>
      <c r="I501">
        <v>3186.15</v>
      </c>
      <c r="J501">
        <f>Table2[[#This Row],[Sales_Amount]]-(Table2[[#This Row],[Quantity_Sold]]*Table2[[#This Row],[Unit_Cost]])</f>
        <v>-39172.93</v>
      </c>
    </row>
    <row r="502" spans="1:10" x14ac:dyDescent="0.3">
      <c r="A502">
        <v>1076</v>
      </c>
      <c r="B502" s="1">
        <v>44970</v>
      </c>
      <c r="C502" t="s">
        <v>38</v>
      </c>
      <c r="D502" t="s">
        <v>15</v>
      </c>
      <c r="E502">
        <v>6697.98</v>
      </c>
      <c r="F502">
        <v>17</v>
      </c>
      <c r="G502" t="s">
        <v>29</v>
      </c>
      <c r="H502">
        <v>604.08000000000004</v>
      </c>
      <c r="I502">
        <v>624.71</v>
      </c>
      <c r="J502">
        <f>Table2[[#This Row],[Sales_Amount]]-(Table2[[#This Row],[Quantity_Sold]]*Table2[[#This Row],[Unit_Cost]])</f>
        <v>-3571.380000000001</v>
      </c>
    </row>
    <row r="503" spans="1:10" x14ac:dyDescent="0.3">
      <c r="A503">
        <v>1026</v>
      </c>
      <c r="B503" s="1">
        <v>45231</v>
      </c>
      <c r="C503" t="s">
        <v>42</v>
      </c>
      <c r="D503" t="s">
        <v>25</v>
      </c>
      <c r="E503">
        <v>7895.13</v>
      </c>
      <c r="F503">
        <v>36</v>
      </c>
      <c r="G503" t="s">
        <v>29</v>
      </c>
      <c r="H503">
        <v>3067.05</v>
      </c>
      <c r="I503">
        <v>3386.33</v>
      </c>
      <c r="J503">
        <f>Table2[[#This Row],[Sales_Amount]]-(Table2[[#This Row],[Quantity_Sold]]*Table2[[#This Row],[Unit_Cost]])</f>
        <v>-102518.67</v>
      </c>
    </row>
    <row r="504" spans="1:10" x14ac:dyDescent="0.3">
      <c r="A504">
        <v>1016</v>
      </c>
      <c r="B504" s="1">
        <v>44943</v>
      </c>
      <c r="C504" t="s">
        <v>38</v>
      </c>
      <c r="D504" t="s">
        <v>21</v>
      </c>
      <c r="E504">
        <v>4598.0200000000004</v>
      </c>
      <c r="F504">
        <v>21</v>
      </c>
      <c r="G504" t="s">
        <v>35</v>
      </c>
      <c r="H504">
        <v>2863.74</v>
      </c>
      <c r="I504">
        <v>2953.91</v>
      </c>
      <c r="J504">
        <f>Table2[[#This Row],[Sales_Amount]]-(Table2[[#This Row],[Quantity_Sold]]*Table2[[#This Row],[Unit_Cost]])</f>
        <v>-55540.51999999999</v>
      </c>
    </row>
    <row r="505" spans="1:10" x14ac:dyDescent="0.3">
      <c r="A505">
        <v>1051</v>
      </c>
      <c r="B505" s="1">
        <v>45256</v>
      </c>
      <c r="C505" t="s">
        <v>38</v>
      </c>
      <c r="D505" t="s">
        <v>25</v>
      </c>
      <c r="E505">
        <v>6339.45</v>
      </c>
      <c r="F505">
        <v>8</v>
      </c>
      <c r="G505" t="s">
        <v>26</v>
      </c>
      <c r="H505">
        <v>3970.37</v>
      </c>
      <c r="I505">
        <v>4257.5199999999904</v>
      </c>
      <c r="J505">
        <f>Table2[[#This Row],[Sales_Amount]]-(Table2[[#This Row],[Quantity_Sold]]*Table2[[#This Row],[Unit_Cost]])</f>
        <v>-25423.51</v>
      </c>
    </row>
    <row r="506" spans="1:10" x14ac:dyDescent="0.3">
      <c r="A506">
        <v>1086</v>
      </c>
      <c r="B506" s="1">
        <v>44983</v>
      </c>
      <c r="C506" t="s">
        <v>14</v>
      </c>
      <c r="D506" t="s">
        <v>21</v>
      </c>
      <c r="E506">
        <v>2559</v>
      </c>
      <c r="F506">
        <v>5</v>
      </c>
      <c r="G506" t="s">
        <v>35</v>
      </c>
      <c r="H506">
        <v>4934.1000000000004</v>
      </c>
      <c r="I506">
        <v>5191.0200000000004</v>
      </c>
      <c r="J506">
        <f>Table2[[#This Row],[Sales_Amount]]-(Table2[[#This Row],[Quantity_Sold]]*Table2[[#This Row],[Unit_Cost]])</f>
        <v>-22111.5</v>
      </c>
    </row>
    <row r="507" spans="1:10" x14ac:dyDescent="0.3">
      <c r="A507">
        <v>1057</v>
      </c>
      <c r="B507" s="1">
        <v>45237</v>
      </c>
      <c r="C507" t="s">
        <v>14</v>
      </c>
      <c r="D507" t="s">
        <v>34</v>
      </c>
      <c r="E507">
        <v>7084.06</v>
      </c>
      <c r="F507">
        <v>26</v>
      </c>
      <c r="G507" t="s">
        <v>29</v>
      </c>
      <c r="H507">
        <v>1291.82</v>
      </c>
      <c r="I507">
        <v>1308.4399999999901</v>
      </c>
      <c r="J507">
        <f>Table2[[#This Row],[Sales_Amount]]-(Table2[[#This Row],[Quantity_Sold]]*Table2[[#This Row],[Unit_Cost]])</f>
        <v>-26503.26</v>
      </c>
    </row>
    <row r="508" spans="1:10" x14ac:dyDescent="0.3">
      <c r="A508">
        <v>1029</v>
      </c>
      <c r="B508" s="1">
        <v>45229</v>
      </c>
      <c r="C508" t="s">
        <v>38</v>
      </c>
      <c r="D508" t="s">
        <v>34</v>
      </c>
      <c r="E508">
        <v>4333.25</v>
      </c>
      <c r="F508">
        <v>16</v>
      </c>
      <c r="G508" t="s">
        <v>35</v>
      </c>
      <c r="H508">
        <v>2572.8000000000002</v>
      </c>
      <c r="I508">
        <v>2760.6</v>
      </c>
      <c r="J508">
        <f>Table2[[#This Row],[Sales_Amount]]-(Table2[[#This Row],[Quantity_Sold]]*Table2[[#This Row],[Unit_Cost]])</f>
        <v>-36831.550000000003</v>
      </c>
    </row>
    <row r="509" spans="1:10" x14ac:dyDescent="0.3">
      <c r="A509">
        <v>1078</v>
      </c>
      <c r="B509" s="1">
        <v>44938</v>
      </c>
      <c r="C509" t="s">
        <v>38</v>
      </c>
      <c r="D509" t="s">
        <v>34</v>
      </c>
      <c r="E509">
        <v>4481.2</v>
      </c>
      <c r="F509">
        <v>36</v>
      </c>
      <c r="G509" t="s">
        <v>26</v>
      </c>
      <c r="H509">
        <v>4548.88</v>
      </c>
      <c r="I509">
        <v>4853.41</v>
      </c>
      <c r="J509">
        <f>Table2[[#This Row],[Sales_Amount]]-(Table2[[#This Row],[Quantity_Sold]]*Table2[[#This Row],[Unit_Cost]])</f>
        <v>-159278.47999999998</v>
      </c>
    </row>
    <row r="510" spans="1:10" x14ac:dyDescent="0.3">
      <c r="A510">
        <v>1092</v>
      </c>
      <c r="B510" s="1">
        <v>45244</v>
      </c>
      <c r="C510" t="s">
        <v>38</v>
      </c>
      <c r="D510" t="s">
        <v>34</v>
      </c>
      <c r="E510">
        <v>6528.29</v>
      </c>
      <c r="F510">
        <v>28</v>
      </c>
      <c r="G510" t="s">
        <v>29</v>
      </c>
      <c r="H510">
        <v>3936.69</v>
      </c>
      <c r="I510">
        <v>4362.51</v>
      </c>
      <c r="J510">
        <f>Table2[[#This Row],[Sales_Amount]]-(Table2[[#This Row],[Quantity_Sold]]*Table2[[#This Row],[Unit_Cost]])</f>
        <v>-103699.03000000001</v>
      </c>
    </row>
    <row r="511" spans="1:10" x14ac:dyDescent="0.3">
      <c r="A511">
        <v>1069</v>
      </c>
      <c r="B511" s="1">
        <v>45006</v>
      </c>
      <c r="C511" t="s">
        <v>14</v>
      </c>
      <c r="D511" t="s">
        <v>34</v>
      </c>
      <c r="E511">
        <v>9369.18</v>
      </c>
      <c r="F511">
        <v>29</v>
      </c>
      <c r="G511" t="s">
        <v>16</v>
      </c>
      <c r="H511">
        <v>2462.66</v>
      </c>
      <c r="I511">
        <v>2908.0899999999901</v>
      </c>
      <c r="J511">
        <f>Table2[[#This Row],[Sales_Amount]]-(Table2[[#This Row],[Quantity_Sold]]*Table2[[#This Row],[Unit_Cost]])</f>
        <v>-62047.96</v>
      </c>
    </row>
    <row r="512" spans="1:10" x14ac:dyDescent="0.3">
      <c r="A512">
        <v>1047</v>
      </c>
      <c r="B512" s="1">
        <v>45142</v>
      </c>
      <c r="C512" t="s">
        <v>38</v>
      </c>
      <c r="D512" t="s">
        <v>25</v>
      </c>
      <c r="E512">
        <v>733.66</v>
      </c>
      <c r="F512">
        <v>47</v>
      </c>
      <c r="G512" t="s">
        <v>29</v>
      </c>
      <c r="H512">
        <v>4729.59</v>
      </c>
      <c r="I512">
        <v>4976.68</v>
      </c>
      <c r="J512">
        <f>Table2[[#This Row],[Sales_Amount]]-(Table2[[#This Row],[Quantity_Sold]]*Table2[[#This Row],[Unit_Cost]])</f>
        <v>-221557.07</v>
      </c>
    </row>
    <row r="513" spans="1:10" x14ac:dyDescent="0.3">
      <c r="A513">
        <v>1094</v>
      </c>
      <c r="B513" s="1">
        <v>45265</v>
      </c>
      <c r="C513" t="s">
        <v>38</v>
      </c>
      <c r="D513" t="s">
        <v>34</v>
      </c>
      <c r="E513">
        <v>8264.9599999999991</v>
      </c>
      <c r="F513">
        <v>12</v>
      </c>
      <c r="G513" t="s">
        <v>16</v>
      </c>
      <c r="H513">
        <v>333.32</v>
      </c>
      <c r="I513">
        <v>700.25</v>
      </c>
      <c r="J513">
        <f>Table2[[#This Row],[Sales_Amount]]-(Table2[[#This Row],[Quantity_Sold]]*Table2[[#This Row],[Unit_Cost]])</f>
        <v>4265.119999999999</v>
      </c>
    </row>
    <row r="514" spans="1:10" x14ac:dyDescent="0.3">
      <c r="A514">
        <v>1062</v>
      </c>
      <c r="B514" s="1">
        <v>45190</v>
      </c>
      <c r="C514" t="s">
        <v>24</v>
      </c>
      <c r="D514" t="s">
        <v>15</v>
      </c>
      <c r="E514">
        <v>2994.59</v>
      </c>
      <c r="F514">
        <v>37</v>
      </c>
      <c r="G514" t="s">
        <v>35</v>
      </c>
      <c r="H514">
        <v>4658.4399999999996</v>
      </c>
      <c r="I514">
        <v>4823.5</v>
      </c>
      <c r="J514">
        <f>Table2[[#This Row],[Sales_Amount]]-(Table2[[#This Row],[Quantity_Sold]]*Table2[[#This Row],[Unit_Cost]])</f>
        <v>-169367.69</v>
      </c>
    </row>
    <row r="515" spans="1:10" x14ac:dyDescent="0.3">
      <c r="A515">
        <v>1069</v>
      </c>
      <c r="B515" s="1">
        <v>45075</v>
      </c>
      <c r="C515" t="s">
        <v>42</v>
      </c>
      <c r="D515" t="s">
        <v>15</v>
      </c>
      <c r="E515">
        <v>4494.8</v>
      </c>
      <c r="F515">
        <v>30</v>
      </c>
      <c r="G515" t="s">
        <v>35</v>
      </c>
      <c r="H515">
        <v>300.01</v>
      </c>
      <c r="I515">
        <v>477.67999999999898</v>
      </c>
      <c r="J515">
        <f>Table2[[#This Row],[Sales_Amount]]-(Table2[[#This Row],[Quantity_Sold]]*Table2[[#This Row],[Unit_Cost]])</f>
        <v>-4505.4999999999991</v>
      </c>
    </row>
    <row r="516" spans="1:10" x14ac:dyDescent="0.3">
      <c r="A516">
        <v>1076</v>
      </c>
      <c r="B516" s="1">
        <v>45007</v>
      </c>
      <c r="C516" t="s">
        <v>33</v>
      </c>
      <c r="D516" t="s">
        <v>25</v>
      </c>
      <c r="E516">
        <v>316.94</v>
      </c>
      <c r="F516">
        <v>23</v>
      </c>
      <c r="G516" t="s">
        <v>26</v>
      </c>
      <c r="H516">
        <v>2759.16</v>
      </c>
      <c r="I516">
        <v>2864.45</v>
      </c>
      <c r="J516">
        <f>Table2[[#This Row],[Sales_Amount]]-(Table2[[#This Row],[Quantity_Sold]]*Table2[[#This Row],[Unit_Cost]])</f>
        <v>-63143.739999999991</v>
      </c>
    </row>
    <row r="517" spans="1:10" x14ac:dyDescent="0.3">
      <c r="A517">
        <v>1016</v>
      </c>
      <c r="B517" s="1">
        <v>45141</v>
      </c>
      <c r="C517" t="s">
        <v>42</v>
      </c>
      <c r="D517" t="s">
        <v>21</v>
      </c>
      <c r="E517">
        <v>3080.36</v>
      </c>
      <c r="F517">
        <v>16</v>
      </c>
      <c r="G517" t="s">
        <v>16</v>
      </c>
      <c r="H517">
        <v>4457.68</v>
      </c>
      <c r="I517">
        <v>4743.03</v>
      </c>
      <c r="J517">
        <f>Table2[[#This Row],[Sales_Amount]]-(Table2[[#This Row],[Quantity_Sold]]*Table2[[#This Row],[Unit_Cost]])</f>
        <v>-68242.52</v>
      </c>
    </row>
    <row r="518" spans="1:10" x14ac:dyDescent="0.3">
      <c r="A518">
        <v>1090</v>
      </c>
      <c r="B518" s="1">
        <v>45124</v>
      </c>
      <c r="C518" t="s">
        <v>24</v>
      </c>
      <c r="D518" t="s">
        <v>15</v>
      </c>
      <c r="E518">
        <v>5076.05</v>
      </c>
      <c r="F518">
        <v>14</v>
      </c>
      <c r="G518" t="s">
        <v>35</v>
      </c>
      <c r="H518">
        <v>1350.47</v>
      </c>
      <c r="I518">
        <v>1514.61</v>
      </c>
      <c r="J518">
        <f>Table2[[#This Row],[Sales_Amount]]-(Table2[[#This Row],[Quantity_Sold]]*Table2[[#This Row],[Unit_Cost]])</f>
        <v>-13830.530000000002</v>
      </c>
    </row>
    <row r="519" spans="1:10" x14ac:dyDescent="0.3">
      <c r="A519">
        <v>1090</v>
      </c>
      <c r="B519" s="1">
        <v>45126</v>
      </c>
      <c r="C519" t="s">
        <v>33</v>
      </c>
      <c r="D519" t="s">
        <v>21</v>
      </c>
      <c r="E519">
        <v>656.14</v>
      </c>
      <c r="F519">
        <v>10</v>
      </c>
      <c r="G519" t="s">
        <v>16</v>
      </c>
      <c r="H519">
        <v>2387.63</v>
      </c>
      <c r="I519">
        <v>2438.9699999999998</v>
      </c>
      <c r="J519">
        <f>Table2[[#This Row],[Sales_Amount]]-(Table2[[#This Row],[Quantity_Sold]]*Table2[[#This Row],[Unit_Cost]])</f>
        <v>-23220.160000000003</v>
      </c>
    </row>
    <row r="520" spans="1:10" x14ac:dyDescent="0.3">
      <c r="A520">
        <v>1048</v>
      </c>
      <c r="B520" s="1">
        <v>44951</v>
      </c>
      <c r="C520" t="s">
        <v>38</v>
      </c>
      <c r="D520" t="s">
        <v>25</v>
      </c>
      <c r="E520">
        <v>4961.8500000000004</v>
      </c>
      <c r="F520">
        <v>7</v>
      </c>
      <c r="G520" t="s">
        <v>35</v>
      </c>
      <c r="H520">
        <v>1655.43</v>
      </c>
      <c r="I520">
        <v>2001.08</v>
      </c>
      <c r="J520">
        <f>Table2[[#This Row],[Sales_Amount]]-(Table2[[#This Row],[Quantity_Sold]]*Table2[[#This Row],[Unit_Cost]])</f>
        <v>-6626.16</v>
      </c>
    </row>
    <row r="521" spans="1:10" x14ac:dyDescent="0.3">
      <c r="A521">
        <v>1085</v>
      </c>
      <c r="B521" s="1">
        <v>45015</v>
      </c>
      <c r="C521" t="s">
        <v>24</v>
      </c>
      <c r="D521" t="s">
        <v>21</v>
      </c>
      <c r="E521">
        <v>9278.4</v>
      </c>
      <c r="F521">
        <v>45</v>
      </c>
      <c r="G521" t="s">
        <v>29</v>
      </c>
      <c r="H521">
        <v>4763.1099999999997</v>
      </c>
      <c r="I521">
        <v>5119.91</v>
      </c>
      <c r="J521">
        <f>Table2[[#This Row],[Sales_Amount]]-(Table2[[#This Row],[Quantity_Sold]]*Table2[[#This Row],[Unit_Cost]])</f>
        <v>-205061.55</v>
      </c>
    </row>
    <row r="522" spans="1:10" x14ac:dyDescent="0.3">
      <c r="A522">
        <v>1039</v>
      </c>
      <c r="B522" s="1">
        <v>45194</v>
      </c>
      <c r="C522" t="s">
        <v>38</v>
      </c>
      <c r="D522" t="s">
        <v>21</v>
      </c>
      <c r="E522">
        <v>1143.3900000000001</v>
      </c>
      <c r="F522">
        <v>37</v>
      </c>
      <c r="G522" t="s">
        <v>35</v>
      </c>
      <c r="H522">
        <v>4127.05</v>
      </c>
      <c r="I522">
        <v>4313.45</v>
      </c>
      <c r="J522">
        <f>Table2[[#This Row],[Sales_Amount]]-(Table2[[#This Row],[Quantity_Sold]]*Table2[[#This Row],[Unit_Cost]])</f>
        <v>-151557.46</v>
      </c>
    </row>
    <row r="523" spans="1:10" x14ac:dyDescent="0.3">
      <c r="A523">
        <v>1100</v>
      </c>
      <c r="B523" s="1">
        <v>45069</v>
      </c>
      <c r="C523" t="s">
        <v>14</v>
      </c>
      <c r="D523" t="s">
        <v>21</v>
      </c>
      <c r="E523">
        <v>7667.96</v>
      </c>
      <c r="F523">
        <v>29</v>
      </c>
      <c r="G523" t="s">
        <v>26</v>
      </c>
      <c r="H523">
        <v>3559.56</v>
      </c>
      <c r="I523">
        <v>3607.15</v>
      </c>
      <c r="J523">
        <f>Table2[[#This Row],[Sales_Amount]]-(Table2[[#This Row],[Quantity_Sold]]*Table2[[#This Row],[Unit_Cost]])</f>
        <v>-95559.28</v>
      </c>
    </row>
    <row r="524" spans="1:10" x14ac:dyDescent="0.3">
      <c r="A524">
        <v>1033</v>
      </c>
      <c r="B524" s="1">
        <v>44985</v>
      </c>
      <c r="C524" t="s">
        <v>24</v>
      </c>
      <c r="D524" t="s">
        <v>21</v>
      </c>
      <c r="E524">
        <v>4155.74</v>
      </c>
      <c r="F524">
        <v>3</v>
      </c>
      <c r="G524" t="s">
        <v>29</v>
      </c>
      <c r="H524">
        <v>2958.75</v>
      </c>
      <c r="I524">
        <v>3177.64</v>
      </c>
      <c r="J524">
        <f>Table2[[#This Row],[Sales_Amount]]-(Table2[[#This Row],[Quantity_Sold]]*Table2[[#This Row],[Unit_Cost]])</f>
        <v>-4720.51</v>
      </c>
    </row>
    <row r="525" spans="1:10" x14ac:dyDescent="0.3">
      <c r="A525">
        <v>1094</v>
      </c>
      <c r="B525" s="1">
        <v>45291</v>
      </c>
      <c r="C525" t="s">
        <v>14</v>
      </c>
      <c r="D525" t="s">
        <v>25</v>
      </c>
      <c r="E525">
        <v>6586.22</v>
      </c>
      <c r="F525">
        <v>15</v>
      </c>
      <c r="G525" t="s">
        <v>26</v>
      </c>
      <c r="H525">
        <v>4111.93</v>
      </c>
      <c r="I525">
        <v>4338.67</v>
      </c>
      <c r="J525">
        <f>Table2[[#This Row],[Sales_Amount]]-(Table2[[#This Row],[Quantity_Sold]]*Table2[[#This Row],[Unit_Cost]])</f>
        <v>-55092.73</v>
      </c>
    </row>
    <row r="526" spans="1:10" x14ac:dyDescent="0.3">
      <c r="A526">
        <v>1023</v>
      </c>
      <c r="B526" s="1">
        <v>44952</v>
      </c>
      <c r="C526" t="s">
        <v>24</v>
      </c>
      <c r="D526" t="s">
        <v>15</v>
      </c>
      <c r="E526">
        <v>2676.34</v>
      </c>
      <c r="F526">
        <v>36</v>
      </c>
      <c r="G526" t="s">
        <v>29</v>
      </c>
      <c r="H526">
        <v>1991.72</v>
      </c>
      <c r="I526">
        <v>2329.37</v>
      </c>
      <c r="J526">
        <f>Table2[[#This Row],[Sales_Amount]]-(Table2[[#This Row],[Quantity_Sold]]*Table2[[#This Row],[Unit_Cost]])</f>
        <v>-69025.58</v>
      </c>
    </row>
    <row r="527" spans="1:10" x14ac:dyDescent="0.3">
      <c r="A527">
        <v>1010</v>
      </c>
      <c r="B527" s="1">
        <v>44973</v>
      </c>
      <c r="C527" t="s">
        <v>24</v>
      </c>
      <c r="D527" t="s">
        <v>34</v>
      </c>
      <c r="E527">
        <v>1678.97</v>
      </c>
      <c r="F527">
        <v>47</v>
      </c>
      <c r="G527" t="s">
        <v>16</v>
      </c>
      <c r="H527">
        <v>2265.38</v>
      </c>
      <c r="I527">
        <v>2429.9299999999998</v>
      </c>
      <c r="J527">
        <f>Table2[[#This Row],[Sales_Amount]]-(Table2[[#This Row],[Quantity_Sold]]*Table2[[#This Row],[Unit_Cost]])</f>
        <v>-104793.89</v>
      </c>
    </row>
    <row r="528" spans="1:10" x14ac:dyDescent="0.3">
      <c r="A528">
        <v>1069</v>
      </c>
      <c r="B528" s="1">
        <v>45214</v>
      </c>
      <c r="C528" t="s">
        <v>14</v>
      </c>
      <c r="D528" t="s">
        <v>21</v>
      </c>
      <c r="E528">
        <v>1688.58</v>
      </c>
      <c r="F528">
        <v>46</v>
      </c>
      <c r="G528" t="s">
        <v>26</v>
      </c>
      <c r="H528">
        <v>3663.51</v>
      </c>
      <c r="I528">
        <v>4007.98</v>
      </c>
      <c r="J528">
        <f>Table2[[#This Row],[Sales_Amount]]-(Table2[[#This Row],[Quantity_Sold]]*Table2[[#This Row],[Unit_Cost]])</f>
        <v>-166832.88000000003</v>
      </c>
    </row>
    <row r="529" spans="1:10" x14ac:dyDescent="0.3">
      <c r="A529">
        <v>1100</v>
      </c>
      <c r="B529" s="1">
        <v>45192</v>
      </c>
      <c r="C529" t="s">
        <v>33</v>
      </c>
      <c r="D529" t="s">
        <v>15</v>
      </c>
      <c r="E529">
        <v>797.87</v>
      </c>
      <c r="F529">
        <v>19</v>
      </c>
      <c r="G529" t="s">
        <v>35</v>
      </c>
      <c r="H529">
        <v>1820.89</v>
      </c>
      <c r="I529">
        <v>2257.92</v>
      </c>
      <c r="J529">
        <f>Table2[[#This Row],[Sales_Amount]]-(Table2[[#This Row],[Quantity_Sold]]*Table2[[#This Row],[Unit_Cost]])</f>
        <v>-33799.040000000001</v>
      </c>
    </row>
    <row r="530" spans="1:10" x14ac:dyDescent="0.3">
      <c r="A530">
        <v>1034</v>
      </c>
      <c r="B530" s="1">
        <v>44942</v>
      </c>
      <c r="C530" t="s">
        <v>42</v>
      </c>
      <c r="D530" t="s">
        <v>15</v>
      </c>
      <c r="E530">
        <v>1937.9</v>
      </c>
      <c r="F530">
        <v>13</v>
      </c>
      <c r="G530" t="s">
        <v>16</v>
      </c>
      <c r="H530">
        <v>366.31</v>
      </c>
      <c r="I530">
        <v>492.68</v>
      </c>
      <c r="J530">
        <f>Table2[[#This Row],[Sales_Amount]]-(Table2[[#This Row],[Quantity_Sold]]*Table2[[#This Row],[Unit_Cost]])</f>
        <v>-2824.1299999999997</v>
      </c>
    </row>
    <row r="531" spans="1:10" x14ac:dyDescent="0.3">
      <c r="A531">
        <v>1052</v>
      </c>
      <c r="B531" s="1">
        <v>45125</v>
      </c>
      <c r="C531" t="s">
        <v>38</v>
      </c>
      <c r="D531" t="s">
        <v>25</v>
      </c>
      <c r="E531">
        <v>6675.77</v>
      </c>
      <c r="F531">
        <v>42</v>
      </c>
      <c r="G531" t="s">
        <v>35</v>
      </c>
      <c r="H531">
        <v>417.96</v>
      </c>
      <c r="I531">
        <v>907.63</v>
      </c>
      <c r="J531">
        <f>Table2[[#This Row],[Sales_Amount]]-(Table2[[#This Row],[Quantity_Sold]]*Table2[[#This Row],[Unit_Cost]])</f>
        <v>-10878.55</v>
      </c>
    </row>
    <row r="532" spans="1:10" x14ac:dyDescent="0.3">
      <c r="A532">
        <v>1095</v>
      </c>
      <c r="B532" s="1">
        <v>45208</v>
      </c>
      <c r="C532" t="s">
        <v>24</v>
      </c>
      <c r="D532" t="s">
        <v>15</v>
      </c>
      <c r="E532">
        <v>8828.74</v>
      </c>
      <c r="F532">
        <v>21</v>
      </c>
      <c r="G532" t="s">
        <v>29</v>
      </c>
      <c r="H532">
        <v>621.04999999999995</v>
      </c>
      <c r="I532">
        <v>820.36999999999898</v>
      </c>
      <c r="J532">
        <f>Table2[[#This Row],[Sales_Amount]]-(Table2[[#This Row],[Quantity_Sold]]*Table2[[#This Row],[Unit_Cost]])</f>
        <v>-4213.3099999999995</v>
      </c>
    </row>
    <row r="533" spans="1:10" x14ac:dyDescent="0.3">
      <c r="A533">
        <v>1010</v>
      </c>
      <c r="B533" s="1">
        <v>45012</v>
      </c>
      <c r="C533" t="s">
        <v>38</v>
      </c>
      <c r="D533" t="s">
        <v>25</v>
      </c>
      <c r="E533">
        <v>8159.84</v>
      </c>
      <c r="F533">
        <v>37</v>
      </c>
      <c r="G533" t="s">
        <v>29</v>
      </c>
      <c r="H533">
        <v>4354.92</v>
      </c>
      <c r="I533">
        <v>4495.88</v>
      </c>
      <c r="J533">
        <f>Table2[[#This Row],[Sales_Amount]]-(Table2[[#This Row],[Quantity_Sold]]*Table2[[#This Row],[Unit_Cost]])</f>
        <v>-152972.20000000001</v>
      </c>
    </row>
    <row r="534" spans="1:10" x14ac:dyDescent="0.3">
      <c r="A534">
        <v>1019</v>
      </c>
      <c r="B534" s="1">
        <v>45176</v>
      </c>
      <c r="C534" t="s">
        <v>14</v>
      </c>
      <c r="D534" t="s">
        <v>21</v>
      </c>
      <c r="E534">
        <v>6882.83</v>
      </c>
      <c r="F534">
        <v>27</v>
      </c>
      <c r="G534" t="s">
        <v>35</v>
      </c>
      <c r="H534">
        <v>2387.52</v>
      </c>
      <c r="I534">
        <v>2604.06</v>
      </c>
      <c r="J534">
        <f>Table2[[#This Row],[Sales_Amount]]-(Table2[[#This Row],[Quantity_Sold]]*Table2[[#This Row],[Unit_Cost]])</f>
        <v>-57580.21</v>
      </c>
    </row>
    <row r="535" spans="1:10" x14ac:dyDescent="0.3">
      <c r="A535">
        <v>1058</v>
      </c>
      <c r="B535" s="1">
        <v>45196</v>
      </c>
      <c r="C535" t="s">
        <v>38</v>
      </c>
      <c r="D535" t="s">
        <v>21</v>
      </c>
      <c r="E535">
        <v>1193.28</v>
      </c>
      <c r="F535">
        <v>29</v>
      </c>
      <c r="G535" t="s">
        <v>35</v>
      </c>
      <c r="H535">
        <v>3578.77</v>
      </c>
      <c r="I535">
        <v>3635.02</v>
      </c>
      <c r="J535">
        <f>Table2[[#This Row],[Sales_Amount]]-(Table2[[#This Row],[Quantity_Sold]]*Table2[[#This Row],[Unit_Cost]])</f>
        <v>-102591.05</v>
      </c>
    </row>
    <row r="536" spans="1:10" x14ac:dyDescent="0.3">
      <c r="A536">
        <v>1096</v>
      </c>
      <c r="B536" s="1">
        <v>45261</v>
      </c>
      <c r="C536" t="s">
        <v>14</v>
      </c>
      <c r="D536" t="s">
        <v>34</v>
      </c>
      <c r="E536">
        <v>2962.96</v>
      </c>
      <c r="F536">
        <v>20</v>
      </c>
      <c r="G536" t="s">
        <v>16</v>
      </c>
      <c r="H536">
        <v>1994.9</v>
      </c>
      <c r="I536">
        <v>2066.5</v>
      </c>
      <c r="J536">
        <f>Table2[[#This Row],[Sales_Amount]]-(Table2[[#This Row],[Quantity_Sold]]*Table2[[#This Row],[Unit_Cost]])</f>
        <v>-36935.040000000001</v>
      </c>
    </row>
    <row r="537" spans="1:10" x14ac:dyDescent="0.3">
      <c r="A537">
        <v>1001</v>
      </c>
      <c r="B537" s="1">
        <v>45043</v>
      </c>
      <c r="C537" t="s">
        <v>38</v>
      </c>
      <c r="D537" t="s">
        <v>34</v>
      </c>
      <c r="E537">
        <v>3167.09</v>
      </c>
      <c r="F537">
        <v>25</v>
      </c>
      <c r="G537" t="s">
        <v>35</v>
      </c>
      <c r="H537">
        <v>1330.62</v>
      </c>
      <c r="I537">
        <v>1543.6899999999901</v>
      </c>
      <c r="J537">
        <f>Table2[[#This Row],[Sales_Amount]]-(Table2[[#This Row],[Quantity_Sold]]*Table2[[#This Row],[Unit_Cost]])</f>
        <v>-30098.41</v>
      </c>
    </row>
    <row r="538" spans="1:10" x14ac:dyDescent="0.3">
      <c r="A538">
        <v>1069</v>
      </c>
      <c r="B538" s="1">
        <v>44933</v>
      </c>
      <c r="C538" t="s">
        <v>42</v>
      </c>
      <c r="D538" t="s">
        <v>34</v>
      </c>
      <c r="E538">
        <v>2574.5700000000002</v>
      </c>
      <c r="F538">
        <v>6</v>
      </c>
      <c r="G538" t="s">
        <v>26</v>
      </c>
      <c r="H538">
        <v>1768.6</v>
      </c>
      <c r="I538">
        <v>2152.1999999999998</v>
      </c>
      <c r="J538">
        <f>Table2[[#This Row],[Sales_Amount]]-(Table2[[#This Row],[Quantity_Sold]]*Table2[[#This Row],[Unit_Cost]])</f>
        <v>-8037.0299999999988</v>
      </c>
    </row>
    <row r="539" spans="1:10" x14ac:dyDescent="0.3">
      <c r="A539">
        <v>1004</v>
      </c>
      <c r="B539" s="1">
        <v>45063</v>
      </c>
      <c r="C539" t="s">
        <v>42</v>
      </c>
      <c r="D539" t="s">
        <v>15</v>
      </c>
      <c r="E539">
        <v>5198.5600000000004</v>
      </c>
      <c r="F539">
        <v>36</v>
      </c>
      <c r="G539" t="s">
        <v>26</v>
      </c>
      <c r="H539">
        <v>3981.2</v>
      </c>
      <c r="I539">
        <v>4432.3499999999904</v>
      </c>
      <c r="J539">
        <f>Table2[[#This Row],[Sales_Amount]]-(Table2[[#This Row],[Quantity_Sold]]*Table2[[#This Row],[Unit_Cost]])</f>
        <v>-138124.63999999998</v>
      </c>
    </row>
    <row r="540" spans="1:10" x14ac:dyDescent="0.3">
      <c r="A540">
        <v>1016</v>
      </c>
      <c r="B540" s="1">
        <v>45102</v>
      </c>
      <c r="C540" t="s">
        <v>42</v>
      </c>
      <c r="D540" t="s">
        <v>21</v>
      </c>
      <c r="E540">
        <v>5401.98</v>
      </c>
      <c r="F540">
        <v>2</v>
      </c>
      <c r="G540" t="s">
        <v>35</v>
      </c>
      <c r="H540">
        <v>3144.82</v>
      </c>
      <c r="I540">
        <v>3480.58</v>
      </c>
      <c r="J540">
        <f>Table2[[#This Row],[Sales_Amount]]-(Table2[[#This Row],[Quantity_Sold]]*Table2[[#This Row],[Unit_Cost]])</f>
        <v>-887.66000000000076</v>
      </c>
    </row>
    <row r="541" spans="1:10" x14ac:dyDescent="0.3">
      <c r="A541">
        <v>1024</v>
      </c>
      <c r="B541" s="1">
        <v>45254</v>
      </c>
      <c r="C541" t="s">
        <v>42</v>
      </c>
      <c r="D541" t="s">
        <v>25</v>
      </c>
      <c r="E541">
        <v>3633.17</v>
      </c>
      <c r="F541">
        <v>22</v>
      </c>
      <c r="G541" t="s">
        <v>26</v>
      </c>
      <c r="H541">
        <v>4691.32</v>
      </c>
      <c r="I541">
        <v>4752.88</v>
      </c>
      <c r="J541">
        <f>Table2[[#This Row],[Sales_Amount]]-(Table2[[#This Row],[Quantity_Sold]]*Table2[[#This Row],[Unit_Cost]])</f>
        <v>-99575.87</v>
      </c>
    </row>
    <row r="542" spans="1:10" x14ac:dyDescent="0.3">
      <c r="A542">
        <v>1080</v>
      </c>
      <c r="B542" s="1">
        <v>45241</v>
      </c>
      <c r="C542" t="s">
        <v>42</v>
      </c>
      <c r="D542" t="s">
        <v>34</v>
      </c>
      <c r="E542">
        <v>3602.51</v>
      </c>
      <c r="F542">
        <v>32</v>
      </c>
      <c r="G542" t="s">
        <v>35</v>
      </c>
      <c r="H542">
        <v>3414.54</v>
      </c>
      <c r="I542">
        <v>3753.83</v>
      </c>
      <c r="J542">
        <f>Table2[[#This Row],[Sales_Amount]]-(Table2[[#This Row],[Quantity_Sold]]*Table2[[#This Row],[Unit_Cost]])</f>
        <v>-105662.77</v>
      </c>
    </row>
    <row r="543" spans="1:10" x14ac:dyDescent="0.3">
      <c r="A543">
        <v>1002</v>
      </c>
      <c r="B543" s="1">
        <v>45141</v>
      </c>
      <c r="C543" t="s">
        <v>42</v>
      </c>
      <c r="D543" t="s">
        <v>25</v>
      </c>
      <c r="E543">
        <v>8302.7000000000007</v>
      </c>
      <c r="F543">
        <v>16</v>
      </c>
      <c r="G543" t="s">
        <v>16</v>
      </c>
      <c r="H543">
        <v>2872.4</v>
      </c>
      <c r="I543">
        <v>3193.76</v>
      </c>
      <c r="J543">
        <f>Table2[[#This Row],[Sales_Amount]]-(Table2[[#This Row],[Quantity_Sold]]*Table2[[#This Row],[Unit_Cost]])</f>
        <v>-37655.699999999997</v>
      </c>
    </row>
    <row r="544" spans="1:10" x14ac:dyDescent="0.3">
      <c r="A544">
        <v>1092</v>
      </c>
      <c r="B544" s="1">
        <v>45008</v>
      </c>
      <c r="C544" t="s">
        <v>14</v>
      </c>
      <c r="D544" t="s">
        <v>25</v>
      </c>
      <c r="E544">
        <v>7914</v>
      </c>
      <c r="F544">
        <v>18</v>
      </c>
      <c r="G544" t="s">
        <v>26</v>
      </c>
      <c r="H544">
        <v>3070.47</v>
      </c>
      <c r="I544">
        <v>3475.29</v>
      </c>
      <c r="J544">
        <f>Table2[[#This Row],[Sales_Amount]]-(Table2[[#This Row],[Quantity_Sold]]*Table2[[#This Row],[Unit_Cost]])</f>
        <v>-47354.46</v>
      </c>
    </row>
    <row r="545" spans="1:10" x14ac:dyDescent="0.3">
      <c r="A545">
        <v>1032</v>
      </c>
      <c r="B545" s="1">
        <v>45149</v>
      </c>
      <c r="C545" t="s">
        <v>24</v>
      </c>
      <c r="D545" t="s">
        <v>34</v>
      </c>
      <c r="E545">
        <v>3147.18</v>
      </c>
      <c r="F545">
        <v>5</v>
      </c>
      <c r="G545" t="s">
        <v>26</v>
      </c>
      <c r="H545">
        <v>4714.74</v>
      </c>
      <c r="I545">
        <v>5129.1099999999997</v>
      </c>
      <c r="J545">
        <f>Table2[[#This Row],[Sales_Amount]]-(Table2[[#This Row],[Quantity_Sold]]*Table2[[#This Row],[Unit_Cost]])</f>
        <v>-20426.519999999997</v>
      </c>
    </row>
    <row r="546" spans="1:10" x14ac:dyDescent="0.3">
      <c r="A546">
        <v>1091</v>
      </c>
      <c r="B546" s="1">
        <v>45029</v>
      </c>
      <c r="C546" t="s">
        <v>38</v>
      </c>
      <c r="D546" t="s">
        <v>21</v>
      </c>
      <c r="E546">
        <v>9146.51</v>
      </c>
      <c r="F546">
        <v>36</v>
      </c>
      <c r="G546" t="s">
        <v>35</v>
      </c>
      <c r="H546">
        <v>3951.59</v>
      </c>
      <c r="I546">
        <v>4387.01</v>
      </c>
      <c r="J546">
        <f>Table2[[#This Row],[Sales_Amount]]-(Table2[[#This Row],[Quantity_Sold]]*Table2[[#This Row],[Unit_Cost]])</f>
        <v>-133110.72999999998</v>
      </c>
    </row>
    <row r="547" spans="1:10" x14ac:dyDescent="0.3">
      <c r="A547">
        <v>1084</v>
      </c>
      <c r="B547" s="1">
        <v>45199</v>
      </c>
      <c r="C547" t="s">
        <v>42</v>
      </c>
      <c r="D547" t="s">
        <v>34</v>
      </c>
      <c r="E547">
        <v>9532.8700000000008</v>
      </c>
      <c r="F547">
        <v>30</v>
      </c>
      <c r="G547" t="s">
        <v>26</v>
      </c>
      <c r="H547">
        <v>169</v>
      </c>
      <c r="I547">
        <v>381.91999999999899</v>
      </c>
      <c r="J547">
        <f>Table2[[#This Row],[Sales_Amount]]-(Table2[[#This Row],[Quantity_Sold]]*Table2[[#This Row],[Unit_Cost]])</f>
        <v>4462.8700000000008</v>
      </c>
    </row>
    <row r="548" spans="1:10" x14ac:dyDescent="0.3">
      <c r="A548">
        <v>1024</v>
      </c>
      <c r="B548" s="1">
        <v>44940</v>
      </c>
      <c r="C548" t="s">
        <v>14</v>
      </c>
      <c r="D548" t="s">
        <v>25</v>
      </c>
      <c r="E548">
        <v>3334.75</v>
      </c>
      <c r="F548">
        <v>45</v>
      </c>
      <c r="G548" t="s">
        <v>29</v>
      </c>
      <c r="H548">
        <v>2693.99</v>
      </c>
      <c r="I548">
        <v>3045.9399999999901</v>
      </c>
      <c r="J548">
        <f>Table2[[#This Row],[Sales_Amount]]-(Table2[[#This Row],[Quantity_Sold]]*Table2[[#This Row],[Unit_Cost]])</f>
        <v>-117894.79999999999</v>
      </c>
    </row>
    <row r="549" spans="1:10" x14ac:dyDescent="0.3">
      <c r="A549">
        <v>1012</v>
      </c>
      <c r="B549" s="1">
        <v>45085</v>
      </c>
      <c r="C549" t="s">
        <v>14</v>
      </c>
      <c r="D549" t="s">
        <v>34</v>
      </c>
      <c r="E549">
        <v>3608.81</v>
      </c>
      <c r="F549">
        <v>19</v>
      </c>
      <c r="G549" t="s">
        <v>16</v>
      </c>
      <c r="H549">
        <v>3457.28</v>
      </c>
      <c r="I549">
        <v>3598.72</v>
      </c>
      <c r="J549">
        <f>Table2[[#This Row],[Sales_Amount]]-(Table2[[#This Row],[Quantity_Sold]]*Table2[[#This Row],[Unit_Cost]])</f>
        <v>-62079.510000000009</v>
      </c>
    </row>
    <row r="550" spans="1:10" x14ac:dyDescent="0.3">
      <c r="A550">
        <v>1050</v>
      </c>
      <c r="B550" s="1">
        <v>45078</v>
      </c>
      <c r="C550" t="s">
        <v>14</v>
      </c>
      <c r="D550" t="s">
        <v>25</v>
      </c>
      <c r="E550">
        <v>5105.78</v>
      </c>
      <c r="F550">
        <v>23</v>
      </c>
      <c r="G550" t="s">
        <v>16</v>
      </c>
      <c r="H550">
        <v>3756.06</v>
      </c>
      <c r="I550">
        <v>4255.7299999999996</v>
      </c>
      <c r="J550">
        <f>Table2[[#This Row],[Sales_Amount]]-(Table2[[#This Row],[Quantity_Sold]]*Table2[[#This Row],[Unit_Cost]])</f>
        <v>-81283.600000000006</v>
      </c>
    </row>
    <row r="551" spans="1:10" x14ac:dyDescent="0.3">
      <c r="A551">
        <v>1035</v>
      </c>
      <c r="B551" s="1">
        <v>45034</v>
      </c>
      <c r="C551" t="s">
        <v>24</v>
      </c>
      <c r="D551" t="s">
        <v>25</v>
      </c>
      <c r="E551">
        <v>9417.1</v>
      </c>
      <c r="F551">
        <v>34</v>
      </c>
      <c r="G551" t="s">
        <v>26</v>
      </c>
      <c r="H551">
        <v>1105.05</v>
      </c>
      <c r="I551">
        <v>1200.96</v>
      </c>
      <c r="J551">
        <f>Table2[[#This Row],[Sales_Amount]]-(Table2[[#This Row],[Quantity_Sold]]*Table2[[#This Row],[Unit_Cost]])</f>
        <v>-28154.6</v>
      </c>
    </row>
    <row r="552" spans="1:10" x14ac:dyDescent="0.3">
      <c r="A552">
        <v>1033</v>
      </c>
      <c r="B552" s="1">
        <v>45114</v>
      </c>
      <c r="C552" t="s">
        <v>38</v>
      </c>
      <c r="D552" t="s">
        <v>34</v>
      </c>
      <c r="E552">
        <v>8775.56</v>
      </c>
      <c r="F552">
        <v>13</v>
      </c>
      <c r="G552" t="s">
        <v>26</v>
      </c>
      <c r="H552">
        <v>4342.53</v>
      </c>
      <c r="I552">
        <v>4357.49</v>
      </c>
      <c r="J552">
        <f>Table2[[#This Row],[Sales_Amount]]-(Table2[[#This Row],[Quantity_Sold]]*Table2[[#This Row],[Unit_Cost]])</f>
        <v>-47677.33</v>
      </c>
    </row>
    <row r="553" spans="1:10" x14ac:dyDescent="0.3">
      <c r="A553">
        <v>1033</v>
      </c>
      <c r="B553" s="1">
        <v>45227</v>
      </c>
      <c r="C553" t="s">
        <v>24</v>
      </c>
      <c r="D553" t="s">
        <v>15</v>
      </c>
      <c r="E553">
        <v>1115.42</v>
      </c>
      <c r="F553">
        <v>43</v>
      </c>
      <c r="G553" t="s">
        <v>29</v>
      </c>
      <c r="H553">
        <v>4781.42</v>
      </c>
      <c r="I553">
        <v>4864.34</v>
      </c>
      <c r="J553">
        <f>Table2[[#This Row],[Sales_Amount]]-(Table2[[#This Row],[Quantity_Sold]]*Table2[[#This Row],[Unit_Cost]])</f>
        <v>-204485.63999999998</v>
      </c>
    </row>
    <row r="554" spans="1:10" x14ac:dyDescent="0.3">
      <c r="A554">
        <v>1061</v>
      </c>
      <c r="B554" s="1">
        <v>45024</v>
      </c>
      <c r="C554" t="s">
        <v>33</v>
      </c>
      <c r="D554" t="s">
        <v>34</v>
      </c>
      <c r="E554">
        <v>3988.03</v>
      </c>
      <c r="F554">
        <v>29</v>
      </c>
      <c r="G554" t="s">
        <v>29</v>
      </c>
      <c r="H554">
        <v>1221.74</v>
      </c>
      <c r="I554">
        <v>1611.92</v>
      </c>
      <c r="J554">
        <f>Table2[[#This Row],[Sales_Amount]]-(Table2[[#This Row],[Quantity_Sold]]*Table2[[#This Row],[Unit_Cost]])</f>
        <v>-31442.43</v>
      </c>
    </row>
    <row r="555" spans="1:10" x14ac:dyDescent="0.3">
      <c r="A555">
        <v>1051</v>
      </c>
      <c r="B555" s="1">
        <v>45057</v>
      </c>
      <c r="C555" t="s">
        <v>14</v>
      </c>
      <c r="D555" t="s">
        <v>15</v>
      </c>
      <c r="E555">
        <v>5578.37</v>
      </c>
      <c r="F555">
        <v>36</v>
      </c>
      <c r="G555" t="s">
        <v>26</v>
      </c>
      <c r="H555">
        <v>4418.95</v>
      </c>
      <c r="I555">
        <v>4647.87</v>
      </c>
      <c r="J555">
        <f>Table2[[#This Row],[Sales_Amount]]-(Table2[[#This Row],[Quantity_Sold]]*Table2[[#This Row],[Unit_Cost]])</f>
        <v>-153503.82999999999</v>
      </c>
    </row>
    <row r="556" spans="1:10" x14ac:dyDescent="0.3">
      <c r="A556">
        <v>1043</v>
      </c>
      <c r="B556" s="1">
        <v>45219</v>
      </c>
      <c r="C556" t="s">
        <v>33</v>
      </c>
      <c r="D556" t="s">
        <v>25</v>
      </c>
      <c r="E556">
        <v>5081.01</v>
      </c>
      <c r="F556">
        <v>22</v>
      </c>
      <c r="G556" t="s">
        <v>26</v>
      </c>
      <c r="H556">
        <v>530.04</v>
      </c>
      <c r="I556">
        <v>759.31999999999903</v>
      </c>
      <c r="J556">
        <f>Table2[[#This Row],[Sales_Amount]]-(Table2[[#This Row],[Quantity_Sold]]*Table2[[#This Row],[Unit_Cost]])</f>
        <v>-6579.869999999999</v>
      </c>
    </row>
    <row r="557" spans="1:10" x14ac:dyDescent="0.3">
      <c r="A557">
        <v>1012</v>
      </c>
      <c r="B557" s="1">
        <v>45097</v>
      </c>
      <c r="C557" t="s">
        <v>42</v>
      </c>
      <c r="D557" t="s">
        <v>25</v>
      </c>
      <c r="E557">
        <v>2019.24</v>
      </c>
      <c r="F557">
        <v>47</v>
      </c>
      <c r="G557" t="s">
        <v>29</v>
      </c>
      <c r="H557">
        <v>325.75</v>
      </c>
      <c r="I557">
        <v>803.71</v>
      </c>
      <c r="J557">
        <f>Table2[[#This Row],[Sales_Amount]]-(Table2[[#This Row],[Quantity_Sold]]*Table2[[#This Row],[Unit_Cost]])</f>
        <v>-13291.01</v>
      </c>
    </row>
    <row r="558" spans="1:10" x14ac:dyDescent="0.3">
      <c r="A558">
        <v>1067</v>
      </c>
      <c r="B558" s="1">
        <v>45109</v>
      </c>
      <c r="C558" t="s">
        <v>42</v>
      </c>
      <c r="D558" t="s">
        <v>15</v>
      </c>
      <c r="E558">
        <v>8602.2900000000009</v>
      </c>
      <c r="F558">
        <v>36</v>
      </c>
      <c r="G558" t="s">
        <v>35</v>
      </c>
      <c r="H558">
        <v>689.66</v>
      </c>
      <c r="I558">
        <v>1150.28</v>
      </c>
      <c r="J558">
        <f>Table2[[#This Row],[Sales_Amount]]-(Table2[[#This Row],[Quantity_Sold]]*Table2[[#This Row],[Unit_Cost]])</f>
        <v>-16225.469999999998</v>
      </c>
    </row>
    <row r="559" spans="1:10" x14ac:dyDescent="0.3">
      <c r="A559">
        <v>1065</v>
      </c>
      <c r="B559" s="1">
        <v>45290</v>
      </c>
      <c r="C559" t="s">
        <v>24</v>
      </c>
      <c r="D559" t="s">
        <v>25</v>
      </c>
      <c r="E559">
        <v>6801.71</v>
      </c>
      <c r="F559">
        <v>9</v>
      </c>
      <c r="G559" t="s">
        <v>29</v>
      </c>
      <c r="H559">
        <v>335.82</v>
      </c>
      <c r="I559">
        <v>498.31</v>
      </c>
      <c r="J559">
        <f>Table2[[#This Row],[Sales_Amount]]-(Table2[[#This Row],[Quantity_Sold]]*Table2[[#This Row],[Unit_Cost]])</f>
        <v>3779.33</v>
      </c>
    </row>
    <row r="560" spans="1:10" x14ac:dyDescent="0.3">
      <c r="A560">
        <v>1033</v>
      </c>
      <c r="B560" s="1">
        <v>44965</v>
      </c>
      <c r="C560" t="s">
        <v>38</v>
      </c>
      <c r="D560" t="s">
        <v>15</v>
      </c>
      <c r="E560">
        <v>8395.2900000000009</v>
      </c>
      <c r="F560">
        <v>39</v>
      </c>
      <c r="G560" t="s">
        <v>35</v>
      </c>
      <c r="H560">
        <v>4232.8100000000004</v>
      </c>
      <c r="I560">
        <v>4345.25</v>
      </c>
      <c r="J560">
        <f>Table2[[#This Row],[Sales_Amount]]-(Table2[[#This Row],[Quantity_Sold]]*Table2[[#This Row],[Unit_Cost]])</f>
        <v>-156684.30000000002</v>
      </c>
    </row>
    <row r="561" spans="1:10" x14ac:dyDescent="0.3">
      <c r="A561">
        <v>1040</v>
      </c>
      <c r="B561" s="1">
        <v>44941</v>
      </c>
      <c r="C561" t="s">
        <v>33</v>
      </c>
      <c r="D561" t="s">
        <v>15</v>
      </c>
      <c r="E561">
        <v>8601.77</v>
      </c>
      <c r="F561">
        <v>19</v>
      </c>
      <c r="G561" t="s">
        <v>16</v>
      </c>
      <c r="H561">
        <v>342.3</v>
      </c>
      <c r="I561">
        <v>768.06</v>
      </c>
      <c r="J561">
        <f>Table2[[#This Row],[Sales_Amount]]-(Table2[[#This Row],[Quantity_Sold]]*Table2[[#This Row],[Unit_Cost]])</f>
        <v>2098.0700000000006</v>
      </c>
    </row>
    <row r="562" spans="1:10" x14ac:dyDescent="0.3">
      <c r="A562">
        <v>1074</v>
      </c>
      <c r="B562" s="1">
        <v>44930</v>
      </c>
      <c r="C562" t="s">
        <v>38</v>
      </c>
      <c r="D562" t="s">
        <v>25</v>
      </c>
      <c r="E562">
        <v>7508.72</v>
      </c>
      <c r="F562">
        <v>38</v>
      </c>
      <c r="G562" t="s">
        <v>16</v>
      </c>
      <c r="H562">
        <v>1394.74</v>
      </c>
      <c r="I562">
        <v>1848.69</v>
      </c>
      <c r="J562">
        <f>Table2[[#This Row],[Sales_Amount]]-(Table2[[#This Row],[Quantity_Sold]]*Table2[[#This Row],[Unit_Cost]])</f>
        <v>-45491.4</v>
      </c>
    </row>
    <row r="563" spans="1:10" x14ac:dyDescent="0.3">
      <c r="A563">
        <v>1043</v>
      </c>
      <c r="B563" s="1">
        <v>45275</v>
      </c>
      <c r="C563" t="s">
        <v>24</v>
      </c>
      <c r="D563" t="s">
        <v>21</v>
      </c>
      <c r="E563">
        <v>4448.18</v>
      </c>
      <c r="F563">
        <v>6</v>
      </c>
      <c r="G563" t="s">
        <v>29</v>
      </c>
      <c r="H563">
        <v>563.59</v>
      </c>
      <c r="I563">
        <v>838.97</v>
      </c>
      <c r="J563">
        <f>Table2[[#This Row],[Sales_Amount]]-(Table2[[#This Row],[Quantity_Sold]]*Table2[[#This Row],[Unit_Cost]])</f>
        <v>1066.6400000000003</v>
      </c>
    </row>
    <row r="564" spans="1:10" x14ac:dyDescent="0.3">
      <c r="A564">
        <v>1044</v>
      </c>
      <c r="B564" s="1">
        <v>45136</v>
      </c>
      <c r="C564" t="s">
        <v>42</v>
      </c>
      <c r="D564" t="s">
        <v>15</v>
      </c>
      <c r="E564">
        <v>6144.41</v>
      </c>
      <c r="F564">
        <v>47</v>
      </c>
      <c r="G564" t="s">
        <v>35</v>
      </c>
      <c r="H564">
        <v>1512.34</v>
      </c>
      <c r="I564">
        <v>1830.76</v>
      </c>
      <c r="J564">
        <f>Table2[[#This Row],[Sales_Amount]]-(Table2[[#This Row],[Quantity_Sold]]*Table2[[#This Row],[Unit_Cost]])</f>
        <v>-64935.569999999992</v>
      </c>
    </row>
    <row r="565" spans="1:10" x14ac:dyDescent="0.3">
      <c r="A565">
        <v>1029</v>
      </c>
      <c r="B565" s="1">
        <v>45087</v>
      </c>
      <c r="C565" t="s">
        <v>38</v>
      </c>
      <c r="D565" t="s">
        <v>34</v>
      </c>
      <c r="E565">
        <v>1687.62</v>
      </c>
      <c r="F565">
        <v>15</v>
      </c>
      <c r="G565" t="s">
        <v>29</v>
      </c>
      <c r="H565">
        <v>498.27</v>
      </c>
      <c r="I565">
        <v>634.16</v>
      </c>
      <c r="J565">
        <f>Table2[[#This Row],[Sales_Amount]]-(Table2[[#This Row],[Quantity_Sold]]*Table2[[#This Row],[Unit_Cost]])</f>
        <v>-5786.4299999999994</v>
      </c>
    </row>
    <row r="566" spans="1:10" x14ac:dyDescent="0.3">
      <c r="A566">
        <v>1013</v>
      </c>
      <c r="B566" s="1">
        <v>44942</v>
      </c>
      <c r="C566" t="s">
        <v>38</v>
      </c>
      <c r="D566" t="s">
        <v>34</v>
      </c>
      <c r="E566">
        <v>6769.09</v>
      </c>
      <c r="F566">
        <v>20</v>
      </c>
      <c r="G566" t="s">
        <v>29</v>
      </c>
      <c r="H566">
        <v>3356.62</v>
      </c>
      <c r="I566">
        <v>3759.0099999999902</v>
      </c>
      <c r="J566">
        <f>Table2[[#This Row],[Sales_Amount]]-(Table2[[#This Row],[Quantity_Sold]]*Table2[[#This Row],[Unit_Cost]])</f>
        <v>-60363.31</v>
      </c>
    </row>
    <row r="567" spans="1:10" x14ac:dyDescent="0.3">
      <c r="A567">
        <v>1012</v>
      </c>
      <c r="B567" s="1">
        <v>45034</v>
      </c>
      <c r="C567" t="s">
        <v>42</v>
      </c>
      <c r="D567" t="s">
        <v>25</v>
      </c>
      <c r="E567">
        <v>1874.61</v>
      </c>
      <c r="F567">
        <v>9</v>
      </c>
      <c r="G567" t="s">
        <v>35</v>
      </c>
      <c r="H567">
        <v>709.97</v>
      </c>
      <c r="I567">
        <v>1029.71</v>
      </c>
      <c r="J567">
        <f>Table2[[#This Row],[Sales_Amount]]-(Table2[[#This Row],[Quantity_Sold]]*Table2[[#This Row],[Unit_Cost]])</f>
        <v>-4515.1200000000008</v>
      </c>
    </row>
    <row r="568" spans="1:10" x14ac:dyDescent="0.3">
      <c r="A568">
        <v>1095</v>
      </c>
      <c r="B568" s="1">
        <v>45237</v>
      </c>
      <c r="C568" t="s">
        <v>33</v>
      </c>
      <c r="D568" t="s">
        <v>21</v>
      </c>
      <c r="E568">
        <v>6970.1</v>
      </c>
      <c r="F568">
        <v>32</v>
      </c>
      <c r="G568" t="s">
        <v>29</v>
      </c>
      <c r="H568">
        <v>4266.6400000000003</v>
      </c>
      <c r="I568">
        <v>4523.3599999999997</v>
      </c>
      <c r="J568">
        <f>Table2[[#This Row],[Sales_Amount]]-(Table2[[#This Row],[Quantity_Sold]]*Table2[[#This Row],[Unit_Cost]])</f>
        <v>-129562.38</v>
      </c>
    </row>
    <row r="569" spans="1:10" x14ac:dyDescent="0.3">
      <c r="A569">
        <v>1046</v>
      </c>
      <c r="B569" s="1">
        <v>45153</v>
      </c>
      <c r="C569" t="s">
        <v>42</v>
      </c>
      <c r="D569" t="s">
        <v>25</v>
      </c>
      <c r="E569">
        <v>2373.02</v>
      </c>
      <c r="F569">
        <v>4</v>
      </c>
      <c r="G569" t="s">
        <v>16</v>
      </c>
      <c r="H569">
        <v>4095.1</v>
      </c>
      <c r="I569">
        <v>4134.55</v>
      </c>
      <c r="J569">
        <f>Table2[[#This Row],[Sales_Amount]]-(Table2[[#This Row],[Quantity_Sold]]*Table2[[#This Row],[Unit_Cost]])</f>
        <v>-14007.38</v>
      </c>
    </row>
    <row r="570" spans="1:10" x14ac:dyDescent="0.3">
      <c r="A570">
        <v>1002</v>
      </c>
      <c r="B570" s="1">
        <v>45096</v>
      </c>
      <c r="C570" t="s">
        <v>38</v>
      </c>
      <c r="D570" t="s">
        <v>21</v>
      </c>
      <c r="E570">
        <v>1263.76</v>
      </c>
      <c r="F570">
        <v>18</v>
      </c>
      <c r="G570" t="s">
        <v>26</v>
      </c>
      <c r="H570">
        <v>117.63</v>
      </c>
      <c r="I570">
        <v>576.44000000000005</v>
      </c>
      <c r="J570">
        <f>Table2[[#This Row],[Sales_Amount]]-(Table2[[#This Row],[Quantity_Sold]]*Table2[[#This Row],[Unit_Cost]])</f>
        <v>-853.58000000000015</v>
      </c>
    </row>
    <row r="571" spans="1:10" x14ac:dyDescent="0.3">
      <c r="A571">
        <v>1035</v>
      </c>
      <c r="B571" s="1">
        <v>44960</v>
      </c>
      <c r="C571" t="s">
        <v>33</v>
      </c>
      <c r="D571" t="s">
        <v>15</v>
      </c>
      <c r="E571">
        <v>1736.32</v>
      </c>
      <c r="F571">
        <v>5</v>
      </c>
      <c r="G571" t="s">
        <v>26</v>
      </c>
      <c r="H571">
        <v>4483.8500000000004</v>
      </c>
      <c r="I571">
        <v>4795.42</v>
      </c>
      <c r="J571">
        <f>Table2[[#This Row],[Sales_Amount]]-(Table2[[#This Row],[Quantity_Sold]]*Table2[[#This Row],[Unit_Cost]])</f>
        <v>-20682.93</v>
      </c>
    </row>
    <row r="572" spans="1:10" x14ac:dyDescent="0.3">
      <c r="A572">
        <v>1087</v>
      </c>
      <c r="B572" s="1">
        <v>45177</v>
      </c>
      <c r="C572" t="s">
        <v>33</v>
      </c>
      <c r="D572" t="s">
        <v>15</v>
      </c>
      <c r="E572">
        <v>119.72</v>
      </c>
      <c r="F572">
        <v>20</v>
      </c>
      <c r="G572" t="s">
        <v>29</v>
      </c>
      <c r="H572">
        <v>193.27</v>
      </c>
      <c r="I572">
        <v>297.69</v>
      </c>
      <c r="J572">
        <f>Table2[[#This Row],[Sales_Amount]]-(Table2[[#This Row],[Quantity_Sold]]*Table2[[#This Row],[Unit_Cost]])</f>
        <v>-3745.6800000000003</v>
      </c>
    </row>
    <row r="573" spans="1:10" x14ac:dyDescent="0.3">
      <c r="A573">
        <v>1081</v>
      </c>
      <c r="B573" s="1">
        <v>45173</v>
      </c>
      <c r="C573" t="s">
        <v>42</v>
      </c>
      <c r="D573" t="s">
        <v>15</v>
      </c>
      <c r="E573">
        <v>7215.52</v>
      </c>
      <c r="F573">
        <v>23</v>
      </c>
      <c r="G573" t="s">
        <v>35</v>
      </c>
      <c r="H573">
        <v>1236.25</v>
      </c>
      <c r="I573">
        <v>1543.38</v>
      </c>
      <c r="J573">
        <f>Table2[[#This Row],[Sales_Amount]]-(Table2[[#This Row],[Quantity_Sold]]*Table2[[#This Row],[Unit_Cost]])</f>
        <v>-21218.23</v>
      </c>
    </row>
    <row r="574" spans="1:10" x14ac:dyDescent="0.3">
      <c r="A574">
        <v>1090</v>
      </c>
      <c r="B574" s="1">
        <v>45195</v>
      </c>
      <c r="C574" t="s">
        <v>38</v>
      </c>
      <c r="D574" t="s">
        <v>15</v>
      </c>
      <c r="E574">
        <v>7350.77</v>
      </c>
      <c r="F574">
        <v>11</v>
      </c>
      <c r="G574" t="s">
        <v>35</v>
      </c>
      <c r="H574">
        <v>210.33</v>
      </c>
      <c r="I574">
        <v>552.29</v>
      </c>
      <c r="J574">
        <f>Table2[[#This Row],[Sales_Amount]]-(Table2[[#This Row],[Quantity_Sold]]*Table2[[#This Row],[Unit_Cost]])</f>
        <v>5037.1400000000003</v>
      </c>
    </row>
    <row r="575" spans="1:10" x14ac:dyDescent="0.3">
      <c r="A575">
        <v>1008</v>
      </c>
      <c r="B575" s="1">
        <v>45067</v>
      </c>
      <c r="C575" t="s">
        <v>24</v>
      </c>
      <c r="D575" t="s">
        <v>34</v>
      </c>
      <c r="E575">
        <v>5197.84</v>
      </c>
      <c r="F575">
        <v>37</v>
      </c>
      <c r="G575" t="s">
        <v>16</v>
      </c>
      <c r="H575">
        <v>1712.43</v>
      </c>
      <c r="I575">
        <v>1980.06</v>
      </c>
      <c r="J575">
        <f>Table2[[#This Row],[Sales_Amount]]-(Table2[[#This Row],[Quantity_Sold]]*Table2[[#This Row],[Unit_Cost]])</f>
        <v>-58162.070000000007</v>
      </c>
    </row>
    <row r="576" spans="1:10" x14ac:dyDescent="0.3">
      <c r="A576">
        <v>1093</v>
      </c>
      <c r="B576" s="1">
        <v>45200</v>
      </c>
      <c r="C576" t="s">
        <v>38</v>
      </c>
      <c r="D576" t="s">
        <v>34</v>
      </c>
      <c r="E576">
        <v>1697.49</v>
      </c>
      <c r="F576">
        <v>22</v>
      </c>
      <c r="G576" t="s">
        <v>35</v>
      </c>
      <c r="H576">
        <v>2593.64</v>
      </c>
      <c r="I576">
        <v>2955.5099999999902</v>
      </c>
      <c r="J576">
        <f>Table2[[#This Row],[Sales_Amount]]-(Table2[[#This Row],[Quantity_Sold]]*Table2[[#This Row],[Unit_Cost]])</f>
        <v>-55362.59</v>
      </c>
    </row>
    <row r="577" spans="1:10" x14ac:dyDescent="0.3">
      <c r="A577">
        <v>1026</v>
      </c>
      <c r="B577" s="1">
        <v>45022</v>
      </c>
      <c r="C577" t="s">
        <v>14</v>
      </c>
      <c r="D577" t="s">
        <v>25</v>
      </c>
      <c r="E577">
        <v>927.19</v>
      </c>
      <c r="F577">
        <v>4</v>
      </c>
      <c r="G577" t="s">
        <v>35</v>
      </c>
      <c r="H577">
        <v>3993.39</v>
      </c>
      <c r="I577">
        <v>4288.3</v>
      </c>
      <c r="J577">
        <f>Table2[[#This Row],[Sales_Amount]]-(Table2[[#This Row],[Quantity_Sold]]*Table2[[#This Row],[Unit_Cost]])</f>
        <v>-15046.369999999999</v>
      </c>
    </row>
    <row r="578" spans="1:10" x14ac:dyDescent="0.3">
      <c r="A578">
        <v>1074</v>
      </c>
      <c r="B578" s="1">
        <v>45153</v>
      </c>
      <c r="C578" t="s">
        <v>24</v>
      </c>
      <c r="D578" t="s">
        <v>21</v>
      </c>
      <c r="E578">
        <v>289.38</v>
      </c>
      <c r="F578">
        <v>29</v>
      </c>
      <c r="G578" t="s">
        <v>16</v>
      </c>
      <c r="H578">
        <v>1723.01</v>
      </c>
      <c r="I578">
        <v>2197.42</v>
      </c>
      <c r="J578">
        <f>Table2[[#This Row],[Sales_Amount]]-(Table2[[#This Row],[Quantity_Sold]]*Table2[[#This Row],[Unit_Cost]])</f>
        <v>-49677.91</v>
      </c>
    </row>
    <row r="579" spans="1:10" x14ac:dyDescent="0.3">
      <c r="A579">
        <v>1090</v>
      </c>
      <c r="B579" s="1">
        <v>44965</v>
      </c>
      <c r="C579" t="s">
        <v>33</v>
      </c>
      <c r="D579" t="s">
        <v>15</v>
      </c>
      <c r="E579">
        <v>1740.91</v>
      </c>
      <c r="F579">
        <v>44</v>
      </c>
      <c r="G579" t="s">
        <v>29</v>
      </c>
      <c r="H579">
        <v>3542.18</v>
      </c>
      <c r="I579">
        <v>3578.49</v>
      </c>
      <c r="J579">
        <f>Table2[[#This Row],[Sales_Amount]]-(Table2[[#This Row],[Quantity_Sold]]*Table2[[#This Row],[Unit_Cost]])</f>
        <v>-154115.00999999998</v>
      </c>
    </row>
    <row r="580" spans="1:10" x14ac:dyDescent="0.3">
      <c r="A580">
        <v>1034</v>
      </c>
      <c r="B580" s="1">
        <v>45228</v>
      </c>
      <c r="C580" t="s">
        <v>24</v>
      </c>
      <c r="D580" t="s">
        <v>15</v>
      </c>
      <c r="E580">
        <v>8919.4699999999993</v>
      </c>
      <c r="F580">
        <v>34</v>
      </c>
      <c r="G580" t="s">
        <v>26</v>
      </c>
      <c r="H580">
        <v>978.15</v>
      </c>
      <c r="I580">
        <v>1040.21</v>
      </c>
      <c r="J580">
        <f>Table2[[#This Row],[Sales_Amount]]-(Table2[[#This Row],[Quantity_Sold]]*Table2[[#This Row],[Unit_Cost]])</f>
        <v>-24337.629999999997</v>
      </c>
    </row>
    <row r="581" spans="1:10" x14ac:dyDescent="0.3">
      <c r="A581">
        <v>1007</v>
      </c>
      <c r="B581" s="1">
        <v>44955</v>
      </c>
      <c r="C581" t="s">
        <v>33</v>
      </c>
      <c r="D581" t="s">
        <v>21</v>
      </c>
      <c r="E581">
        <v>2491.21</v>
      </c>
      <c r="F581">
        <v>13</v>
      </c>
      <c r="G581" t="s">
        <v>16</v>
      </c>
      <c r="H581">
        <v>3765.46</v>
      </c>
      <c r="I581">
        <v>3860.56</v>
      </c>
      <c r="J581">
        <f>Table2[[#This Row],[Sales_Amount]]-(Table2[[#This Row],[Quantity_Sold]]*Table2[[#This Row],[Unit_Cost]])</f>
        <v>-46459.770000000004</v>
      </c>
    </row>
    <row r="582" spans="1:10" x14ac:dyDescent="0.3">
      <c r="A582">
        <v>1068</v>
      </c>
      <c r="B582" s="1">
        <v>45244</v>
      </c>
      <c r="C582" t="s">
        <v>33</v>
      </c>
      <c r="D582" t="s">
        <v>21</v>
      </c>
      <c r="E582">
        <v>3607.29</v>
      </c>
      <c r="F582">
        <v>42</v>
      </c>
      <c r="G582" t="s">
        <v>29</v>
      </c>
      <c r="H582">
        <v>1218.18</v>
      </c>
      <c r="I582">
        <v>1566.36</v>
      </c>
      <c r="J582">
        <f>Table2[[#This Row],[Sales_Amount]]-(Table2[[#This Row],[Quantity_Sold]]*Table2[[#This Row],[Unit_Cost]])</f>
        <v>-47556.270000000004</v>
      </c>
    </row>
    <row r="583" spans="1:10" x14ac:dyDescent="0.3">
      <c r="A583">
        <v>1058</v>
      </c>
      <c r="B583" s="1">
        <v>45171</v>
      </c>
      <c r="C583" t="s">
        <v>24</v>
      </c>
      <c r="D583" t="s">
        <v>25</v>
      </c>
      <c r="E583">
        <v>1142.92</v>
      </c>
      <c r="F583">
        <v>9</v>
      </c>
      <c r="G583" t="s">
        <v>16</v>
      </c>
      <c r="H583">
        <v>760.55</v>
      </c>
      <c r="I583">
        <v>1086.8899999999901</v>
      </c>
      <c r="J583">
        <f>Table2[[#This Row],[Sales_Amount]]-(Table2[[#This Row],[Quantity_Sold]]*Table2[[#This Row],[Unit_Cost]])</f>
        <v>-5702.03</v>
      </c>
    </row>
    <row r="584" spans="1:10" x14ac:dyDescent="0.3">
      <c r="A584">
        <v>1075</v>
      </c>
      <c r="B584" s="1">
        <v>45162</v>
      </c>
      <c r="C584" t="s">
        <v>33</v>
      </c>
      <c r="D584" t="s">
        <v>21</v>
      </c>
      <c r="E584">
        <v>2301.38</v>
      </c>
      <c r="F584">
        <v>42</v>
      </c>
      <c r="G584" t="s">
        <v>29</v>
      </c>
      <c r="H584">
        <v>967.77</v>
      </c>
      <c r="I584">
        <v>1414.88</v>
      </c>
      <c r="J584">
        <f>Table2[[#This Row],[Sales_Amount]]-(Table2[[#This Row],[Quantity_Sold]]*Table2[[#This Row],[Unit_Cost]])</f>
        <v>-38344.959999999999</v>
      </c>
    </row>
    <row r="585" spans="1:10" x14ac:dyDescent="0.3">
      <c r="A585">
        <v>1029</v>
      </c>
      <c r="B585" s="1">
        <v>45111</v>
      </c>
      <c r="C585" t="s">
        <v>33</v>
      </c>
      <c r="D585" t="s">
        <v>15</v>
      </c>
      <c r="E585">
        <v>5240.32</v>
      </c>
      <c r="F585">
        <v>31</v>
      </c>
      <c r="G585" t="s">
        <v>16</v>
      </c>
      <c r="H585">
        <v>951.21</v>
      </c>
      <c r="I585">
        <v>1320.32</v>
      </c>
      <c r="J585">
        <f>Table2[[#This Row],[Sales_Amount]]-(Table2[[#This Row],[Quantity_Sold]]*Table2[[#This Row],[Unit_Cost]])</f>
        <v>-24247.190000000002</v>
      </c>
    </row>
    <row r="586" spans="1:10" x14ac:dyDescent="0.3">
      <c r="A586">
        <v>1036</v>
      </c>
      <c r="B586" s="1">
        <v>45198</v>
      </c>
      <c r="C586" t="s">
        <v>14</v>
      </c>
      <c r="D586" t="s">
        <v>15</v>
      </c>
      <c r="E586">
        <v>6116.75</v>
      </c>
      <c r="F586">
        <v>7</v>
      </c>
      <c r="G586" t="s">
        <v>29</v>
      </c>
      <c r="H586">
        <v>2588.67</v>
      </c>
      <c r="I586">
        <v>2847.76</v>
      </c>
      <c r="J586">
        <f>Table2[[#This Row],[Sales_Amount]]-(Table2[[#This Row],[Quantity_Sold]]*Table2[[#This Row],[Unit_Cost]])</f>
        <v>-12003.940000000002</v>
      </c>
    </row>
    <row r="587" spans="1:10" x14ac:dyDescent="0.3">
      <c r="A587">
        <v>1089</v>
      </c>
      <c r="B587" s="1">
        <v>45162</v>
      </c>
      <c r="C587" t="s">
        <v>38</v>
      </c>
      <c r="D587" t="s">
        <v>15</v>
      </c>
      <c r="E587">
        <v>2528.9899999999998</v>
      </c>
      <c r="F587">
        <v>4</v>
      </c>
      <c r="G587" t="s">
        <v>16</v>
      </c>
      <c r="H587">
        <v>4231.75</v>
      </c>
      <c r="I587">
        <v>4727.75</v>
      </c>
      <c r="J587">
        <f>Table2[[#This Row],[Sales_Amount]]-(Table2[[#This Row],[Quantity_Sold]]*Table2[[#This Row],[Unit_Cost]])</f>
        <v>-14398.01</v>
      </c>
    </row>
    <row r="588" spans="1:10" x14ac:dyDescent="0.3">
      <c r="A588">
        <v>1021</v>
      </c>
      <c r="B588" s="1">
        <v>45165</v>
      </c>
      <c r="C588" t="s">
        <v>38</v>
      </c>
      <c r="D588" t="s">
        <v>15</v>
      </c>
      <c r="E588">
        <v>671.55</v>
      </c>
      <c r="F588">
        <v>19</v>
      </c>
      <c r="G588" t="s">
        <v>29</v>
      </c>
      <c r="H588">
        <v>444.05</v>
      </c>
      <c r="I588">
        <v>584.44000000000005</v>
      </c>
      <c r="J588">
        <f>Table2[[#This Row],[Sales_Amount]]-(Table2[[#This Row],[Quantity_Sold]]*Table2[[#This Row],[Unit_Cost]])</f>
        <v>-7765.4000000000005</v>
      </c>
    </row>
    <row r="589" spans="1:10" x14ac:dyDescent="0.3">
      <c r="A589">
        <v>1036</v>
      </c>
      <c r="B589" s="1">
        <v>45192</v>
      </c>
      <c r="C589" t="s">
        <v>14</v>
      </c>
      <c r="D589" t="s">
        <v>15</v>
      </c>
      <c r="E589">
        <v>3971.23</v>
      </c>
      <c r="F589">
        <v>42</v>
      </c>
      <c r="G589" t="s">
        <v>16</v>
      </c>
      <c r="H589">
        <v>3549.43</v>
      </c>
      <c r="I589">
        <v>3967.6899999999901</v>
      </c>
      <c r="J589">
        <f>Table2[[#This Row],[Sales_Amount]]-(Table2[[#This Row],[Quantity_Sold]]*Table2[[#This Row],[Unit_Cost]])</f>
        <v>-145104.82999999999</v>
      </c>
    </row>
    <row r="590" spans="1:10" x14ac:dyDescent="0.3">
      <c r="A590">
        <v>1010</v>
      </c>
      <c r="B590" s="1">
        <v>45285</v>
      </c>
      <c r="C590" t="s">
        <v>24</v>
      </c>
      <c r="D590" t="s">
        <v>25</v>
      </c>
      <c r="E590">
        <v>2418.61</v>
      </c>
      <c r="F590">
        <v>30</v>
      </c>
      <c r="G590" t="s">
        <v>26</v>
      </c>
      <c r="H590">
        <v>3289.01</v>
      </c>
      <c r="I590">
        <v>3508.14</v>
      </c>
      <c r="J590">
        <f>Table2[[#This Row],[Sales_Amount]]-(Table2[[#This Row],[Quantity_Sold]]*Table2[[#This Row],[Unit_Cost]])</f>
        <v>-96251.69</v>
      </c>
    </row>
    <row r="591" spans="1:10" x14ac:dyDescent="0.3">
      <c r="A591">
        <v>1073</v>
      </c>
      <c r="B591" s="1">
        <v>45266</v>
      </c>
      <c r="C591" t="s">
        <v>42</v>
      </c>
      <c r="D591" t="s">
        <v>15</v>
      </c>
      <c r="E591">
        <v>2273.58</v>
      </c>
      <c r="F591">
        <v>31</v>
      </c>
      <c r="G591" t="s">
        <v>26</v>
      </c>
      <c r="H591">
        <v>4368.97</v>
      </c>
      <c r="I591">
        <v>4696.8500000000004</v>
      </c>
      <c r="J591">
        <f>Table2[[#This Row],[Sales_Amount]]-(Table2[[#This Row],[Quantity_Sold]]*Table2[[#This Row],[Unit_Cost]])</f>
        <v>-133164.49000000002</v>
      </c>
    </row>
    <row r="592" spans="1:10" x14ac:dyDescent="0.3">
      <c r="A592">
        <v>1024</v>
      </c>
      <c r="B592" s="1">
        <v>44991</v>
      </c>
      <c r="C592" t="s">
        <v>42</v>
      </c>
      <c r="D592" t="s">
        <v>25</v>
      </c>
      <c r="E592">
        <v>9602.64</v>
      </c>
      <c r="F592">
        <v>35</v>
      </c>
      <c r="G592" t="s">
        <v>35</v>
      </c>
      <c r="H592">
        <v>1258.53</v>
      </c>
      <c r="I592">
        <v>1624.8899999999901</v>
      </c>
      <c r="J592">
        <f>Table2[[#This Row],[Sales_Amount]]-(Table2[[#This Row],[Quantity_Sold]]*Table2[[#This Row],[Unit_Cost]])</f>
        <v>-34445.909999999996</v>
      </c>
    </row>
    <row r="593" spans="1:10" x14ac:dyDescent="0.3">
      <c r="A593">
        <v>1064</v>
      </c>
      <c r="B593" s="1">
        <v>45103</v>
      </c>
      <c r="C593" t="s">
        <v>42</v>
      </c>
      <c r="D593" t="s">
        <v>15</v>
      </c>
      <c r="E593">
        <v>6201.37</v>
      </c>
      <c r="F593">
        <v>21</v>
      </c>
      <c r="G593" t="s">
        <v>29</v>
      </c>
      <c r="H593">
        <v>2278.04</v>
      </c>
      <c r="I593">
        <v>2598.58</v>
      </c>
      <c r="J593">
        <f>Table2[[#This Row],[Sales_Amount]]-(Table2[[#This Row],[Quantity_Sold]]*Table2[[#This Row],[Unit_Cost]])</f>
        <v>-41637.469999999994</v>
      </c>
    </row>
    <row r="594" spans="1:10" x14ac:dyDescent="0.3">
      <c r="A594">
        <v>1099</v>
      </c>
      <c r="B594" s="1">
        <v>44929</v>
      </c>
      <c r="C594" t="s">
        <v>14</v>
      </c>
      <c r="D594" t="s">
        <v>34</v>
      </c>
      <c r="E594">
        <v>5613.1</v>
      </c>
      <c r="F594">
        <v>31</v>
      </c>
      <c r="G594" t="s">
        <v>16</v>
      </c>
      <c r="H594">
        <v>4632.8500000000004</v>
      </c>
      <c r="I594">
        <v>4711.7</v>
      </c>
      <c r="J594">
        <f>Table2[[#This Row],[Sales_Amount]]-(Table2[[#This Row],[Quantity_Sold]]*Table2[[#This Row],[Unit_Cost]])</f>
        <v>-138005.25</v>
      </c>
    </row>
    <row r="595" spans="1:10" x14ac:dyDescent="0.3">
      <c r="A595">
        <v>1049</v>
      </c>
      <c r="B595" s="1">
        <v>45068</v>
      </c>
      <c r="C595" t="s">
        <v>14</v>
      </c>
      <c r="D595" t="s">
        <v>34</v>
      </c>
      <c r="E595">
        <v>4216.17</v>
      </c>
      <c r="F595">
        <v>19</v>
      </c>
      <c r="G595" t="s">
        <v>29</v>
      </c>
      <c r="H595">
        <v>3316.97</v>
      </c>
      <c r="I595">
        <v>3544.02</v>
      </c>
      <c r="J595">
        <f>Table2[[#This Row],[Sales_Amount]]-(Table2[[#This Row],[Quantity_Sold]]*Table2[[#This Row],[Unit_Cost]])</f>
        <v>-58806.259999999995</v>
      </c>
    </row>
    <row r="596" spans="1:10" x14ac:dyDescent="0.3">
      <c r="A596">
        <v>1099</v>
      </c>
      <c r="B596" s="1">
        <v>45084</v>
      </c>
      <c r="C596" t="s">
        <v>33</v>
      </c>
      <c r="D596" t="s">
        <v>34</v>
      </c>
      <c r="E596">
        <v>4346.55</v>
      </c>
      <c r="F596">
        <v>31</v>
      </c>
      <c r="G596" t="s">
        <v>26</v>
      </c>
      <c r="H596">
        <v>1974.4</v>
      </c>
      <c r="I596">
        <v>2259.5</v>
      </c>
      <c r="J596">
        <f>Table2[[#This Row],[Sales_Amount]]-(Table2[[#This Row],[Quantity_Sold]]*Table2[[#This Row],[Unit_Cost]])</f>
        <v>-56859.85</v>
      </c>
    </row>
    <row r="597" spans="1:10" x14ac:dyDescent="0.3">
      <c r="A597">
        <v>1036</v>
      </c>
      <c r="B597" s="1">
        <v>45250</v>
      </c>
      <c r="C597" t="s">
        <v>42</v>
      </c>
      <c r="D597" t="s">
        <v>34</v>
      </c>
      <c r="E597">
        <v>5454.96</v>
      </c>
      <c r="F597">
        <v>32</v>
      </c>
      <c r="G597" t="s">
        <v>29</v>
      </c>
      <c r="H597">
        <v>700.49</v>
      </c>
      <c r="I597">
        <v>1126.52</v>
      </c>
      <c r="J597">
        <f>Table2[[#This Row],[Sales_Amount]]-(Table2[[#This Row],[Quantity_Sold]]*Table2[[#This Row],[Unit_Cost]])</f>
        <v>-16960.72</v>
      </c>
    </row>
    <row r="598" spans="1:10" x14ac:dyDescent="0.3">
      <c r="A598">
        <v>1082</v>
      </c>
      <c r="B598" s="1">
        <v>45072</v>
      </c>
      <c r="C598" t="s">
        <v>24</v>
      </c>
      <c r="D598" t="s">
        <v>25</v>
      </c>
      <c r="E598">
        <v>6994.66</v>
      </c>
      <c r="F598">
        <v>2</v>
      </c>
      <c r="G598" t="s">
        <v>16</v>
      </c>
      <c r="H598">
        <v>1349.3</v>
      </c>
      <c r="I598">
        <v>1576.69</v>
      </c>
      <c r="J598">
        <f>Table2[[#This Row],[Sales_Amount]]-(Table2[[#This Row],[Quantity_Sold]]*Table2[[#This Row],[Unit_Cost]])</f>
        <v>4296.0599999999995</v>
      </c>
    </row>
    <row r="599" spans="1:10" x14ac:dyDescent="0.3">
      <c r="A599">
        <v>1096</v>
      </c>
      <c r="B599" s="1">
        <v>45219</v>
      </c>
      <c r="C599" t="s">
        <v>24</v>
      </c>
      <c r="D599" t="s">
        <v>25</v>
      </c>
      <c r="E599">
        <v>7051.25</v>
      </c>
      <c r="F599">
        <v>10</v>
      </c>
      <c r="G599" t="s">
        <v>29</v>
      </c>
      <c r="H599">
        <v>2927.02</v>
      </c>
      <c r="I599">
        <v>3387.21</v>
      </c>
      <c r="J599">
        <f>Table2[[#This Row],[Sales_Amount]]-(Table2[[#This Row],[Quantity_Sold]]*Table2[[#This Row],[Unit_Cost]])</f>
        <v>-22218.95</v>
      </c>
    </row>
    <row r="600" spans="1:10" x14ac:dyDescent="0.3">
      <c r="A600">
        <v>1024</v>
      </c>
      <c r="B600" s="1">
        <v>45079</v>
      </c>
      <c r="C600" t="s">
        <v>42</v>
      </c>
      <c r="D600" t="s">
        <v>21</v>
      </c>
      <c r="E600">
        <v>1799.77</v>
      </c>
      <c r="F600">
        <v>2</v>
      </c>
      <c r="G600" t="s">
        <v>16</v>
      </c>
      <c r="H600">
        <v>3604.93</v>
      </c>
      <c r="I600">
        <v>3830.71</v>
      </c>
      <c r="J600">
        <f>Table2[[#This Row],[Sales_Amount]]-(Table2[[#This Row],[Quantity_Sold]]*Table2[[#This Row],[Unit_Cost]])</f>
        <v>-5410.09</v>
      </c>
    </row>
    <row r="601" spans="1:10" x14ac:dyDescent="0.3">
      <c r="A601">
        <v>1023</v>
      </c>
      <c r="B601" s="1">
        <v>45119</v>
      </c>
      <c r="C601" t="s">
        <v>42</v>
      </c>
      <c r="D601" t="s">
        <v>15</v>
      </c>
      <c r="E601">
        <v>5051.12</v>
      </c>
      <c r="F601">
        <v>2</v>
      </c>
      <c r="G601" t="s">
        <v>26</v>
      </c>
      <c r="H601">
        <v>665.89</v>
      </c>
      <c r="I601">
        <v>944.79</v>
      </c>
      <c r="J601">
        <f>Table2[[#This Row],[Sales_Amount]]-(Table2[[#This Row],[Quantity_Sold]]*Table2[[#This Row],[Unit_Cost]])</f>
        <v>3719.34</v>
      </c>
    </row>
    <row r="602" spans="1:10" x14ac:dyDescent="0.3">
      <c r="A602">
        <v>1062</v>
      </c>
      <c r="B602" s="1">
        <v>44999</v>
      </c>
      <c r="C602" t="s">
        <v>42</v>
      </c>
      <c r="D602" t="s">
        <v>34</v>
      </c>
      <c r="E602">
        <v>4178.3900000000003</v>
      </c>
      <c r="F602">
        <v>24</v>
      </c>
      <c r="G602" t="s">
        <v>26</v>
      </c>
      <c r="H602">
        <v>3018.01</v>
      </c>
      <c r="I602">
        <v>3418.19</v>
      </c>
      <c r="J602">
        <f>Table2[[#This Row],[Sales_Amount]]-(Table2[[#This Row],[Quantity_Sold]]*Table2[[#This Row],[Unit_Cost]])</f>
        <v>-68253.850000000006</v>
      </c>
    </row>
    <row r="603" spans="1:10" x14ac:dyDescent="0.3">
      <c r="A603">
        <v>1096</v>
      </c>
      <c r="B603" s="1">
        <v>45231</v>
      </c>
      <c r="C603" t="s">
        <v>14</v>
      </c>
      <c r="D603" t="s">
        <v>25</v>
      </c>
      <c r="E603">
        <v>8718.2199999999993</v>
      </c>
      <c r="F603">
        <v>17</v>
      </c>
      <c r="G603" t="s">
        <v>26</v>
      </c>
      <c r="H603">
        <v>2774.24</v>
      </c>
      <c r="I603">
        <v>3069.9399999999901</v>
      </c>
      <c r="J603">
        <f>Table2[[#This Row],[Sales_Amount]]-(Table2[[#This Row],[Quantity_Sold]]*Table2[[#This Row],[Unit_Cost]])</f>
        <v>-38443.859999999993</v>
      </c>
    </row>
    <row r="604" spans="1:10" x14ac:dyDescent="0.3">
      <c r="A604">
        <v>1037</v>
      </c>
      <c r="B604" s="1">
        <v>45270</v>
      </c>
      <c r="C604" t="s">
        <v>14</v>
      </c>
      <c r="D604" t="s">
        <v>15</v>
      </c>
      <c r="E604">
        <v>6351.05</v>
      </c>
      <c r="F604">
        <v>32</v>
      </c>
      <c r="G604" t="s">
        <v>35</v>
      </c>
      <c r="H604">
        <v>2594.08</v>
      </c>
      <c r="I604">
        <v>3074.59</v>
      </c>
      <c r="J604">
        <f>Table2[[#This Row],[Sales_Amount]]-(Table2[[#This Row],[Quantity_Sold]]*Table2[[#This Row],[Unit_Cost]])</f>
        <v>-76659.509999999995</v>
      </c>
    </row>
    <row r="605" spans="1:10" x14ac:dyDescent="0.3">
      <c r="A605">
        <v>1012</v>
      </c>
      <c r="B605" s="1">
        <v>45066</v>
      </c>
      <c r="C605" t="s">
        <v>14</v>
      </c>
      <c r="D605" t="s">
        <v>15</v>
      </c>
      <c r="E605">
        <v>5371.79</v>
      </c>
      <c r="F605">
        <v>16</v>
      </c>
      <c r="G605" t="s">
        <v>26</v>
      </c>
      <c r="H605">
        <v>3466.11</v>
      </c>
      <c r="I605">
        <v>3799.67</v>
      </c>
      <c r="J605">
        <f>Table2[[#This Row],[Sales_Amount]]-(Table2[[#This Row],[Quantity_Sold]]*Table2[[#This Row],[Unit_Cost]])</f>
        <v>-50085.97</v>
      </c>
    </row>
    <row r="606" spans="1:10" x14ac:dyDescent="0.3">
      <c r="A606">
        <v>1055</v>
      </c>
      <c r="B606" s="1">
        <v>45113</v>
      </c>
      <c r="C606" t="s">
        <v>38</v>
      </c>
      <c r="D606" t="s">
        <v>25</v>
      </c>
      <c r="E606">
        <v>1242.4100000000001</v>
      </c>
      <c r="F606">
        <v>16</v>
      </c>
      <c r="G606" t="s">
        <v>29</v>
      </c>
      <c r="H606">
        <v>4195.38</v>
      </c>
      <c r="I606">
        <v>4461.51</v>
      </c>
      <c r="J606">
        <f>Table2[[#This Row],[Sales_Amount]]-(Table2[[#This Row],[Quantity_Sold]]*Table2[[#This Row],[Unit_Cost]])</f>
        <v>-65883.67</v>
      </c>
    </row>
    <row r="607" spans="1:10" x14ac:dyDescent="0.3">
      <c r="A607">
        <v>1013</v>
      </c>
      <c r="B607" s="1">
        <v>45219</v>
      </c>
      <c r="C607" t="s">
        <v>24</v>
      </c>
      <c r="D607" t="s">
        <v>34</v>
      </c>
      <c r="E607">
        <v>6095.82</v>
      </c>
      <c r="F607">
        <v>46</v>
      </c>
      <c r="G607" t="s">
        <v>35</v>
      </c>
      <c r="H607">
        <v>1648.8</v>
      </c>
      <c r="I607">
        <v>1670.36</v>
      </c>
      <c r="J607">
        <f>Table2[[#This Row],[Sales_Amount]]-(Table2[[#This Row],[Quantity_Sold]]*Table2[[#This Row],[Unit_Cost]])</f>
        <v>-69748.98000000001</v>
      </c>
    </row>
    <row r="608" spans="1:10" x14ac:dyDescent="0.3">
      <c r="A608">
        <v>1023</v>
      </c>
      <c r="B608" s="1">
        <v>44987</v>
      </c>
      <c r="C608" t="s">
        <v>24</v>
      </c>
      <c r="D608" t="s">
        <v>21</v>
      </c>
      <c r="E608">
        <v>1260.32</v>
      </c>
      <c r="F608">
        <v>39</v>
      </c>
      <c r="G608" t="s">
        <v>26</v>
      </c>
      <c r="H608">
        <v>4450.6099999999997</v>
      </c>
      <c r="I608">
        <v>4663.3399999999901</v>
      </c>
      <c r="J608">
        <f>Table2[[#This Row],[Sales_Amount]]-(Table2[[#This Row],[Quantity_Sold]]*Table2[[#This Row],[Unit_Cost]])</f>
        <v>-172313.46999999997</v>
      </c>
    </row>
    <row r="609" spans="1:10" x14ac:dyDescent="0.3">
      <c r="A609">
        <v>1089</v>
      </c>
      <c r="B609" s="1">
        <v>45124</v>
      </c>
      <c r="C609" t="s">
        <v>33</v>
      </c>
      <c r="D609" t="s">
        <v>15</v>
      </c>
      <c r="E609">
        <v>3438.35</v>
      </c>
      <c r="F609">
        <v>31</v>
      </c>
      <c r="G609" t="s">
        <v>29</v>
      </c>
      <c r="H609">
        <v>845.14</v>
      </c>
      <c r="I609">
        <v>1001.77</v>
      </c>
      <c r="J609">
        <f>Table2[[#This Row],[Sales_Amount]]-(Table2[[#This Row],[Quantity_Sold]]*Table2[[#This Row],[Unit_Cost]])</f>
        <v>-22760.99</v>
      </c>
    </row>
    <row r="610" spans="1:10" x14ac:dyDescent="0.3">
      <c r="A610">
        <v>1099</v>
      </c>
      <c r="B610" s="1">
        <v>45221</v>
      </c>
      <c r="C610" t="s">
        <v>14</v>
      </c>
      <c r="D610" t="s">
        <v>21</v>
      </c>
      <c r="E610">
        <v>1514.14</v>
      </c>
      <c r="F610">
        <v>43</v>
      </c>
      <c r="G610" t="s">
        <v>29</v>
      </c>
      <c r="H610">
        <v>906.47</v>
      </c>
      <c r="I610">
        <v>1283.04</v>
      </c>
      <c r="J610">
        <f>Table2[[#This Row],[Sales_Amount]]-(Table2[[#This Row],[Quantity_Sold]]*Table2[[#This Row],[Unit_Cost]])</f>
        <v>-37464.07</v>
      </c>
    </row>
    <row r="611" spans="1:10" x14ac:dyDescent="0.3">
      <c r="A611">
        <v>1030</v>
      </c>
      <c r="B611" s="1">
        <v>45245</v>
      </c>
      <c r="C611" t="s">
        <v>38</v>
      </c>
      <c r="D611" t="s">
        <v>34</v>
      </c>
      <c r="E611">
        <v>6951.53</v>
      </c>
      <c r="F611">
        <v>24</v>
      </c>
      <c r="G611" t="s">
        <v>29</v>
      </c>
      <c r="H611">
        <v>1370.52</v>
      </c>
      <c r="I611">
        <v>1482.58</v>
      </c>
      <c r="J611">
        <f>Table2[[#This Row],[Sales_Amount]]-(Table2[[#This Row],[Quantity_Sold]]*Table2[[#This Row],[Unit_Cost]])</f>
        <v>-25940.949999999997</v>
      </c>
    </row>
    <row r="612" spans="1:10" x14ac:dyDescent="0.3">
      <c r="A612">
        <v>1017</v>
      </c>
      <c r="B612" s="1">
        <v>45228</v>
      </c>
      <c r="C612" t="s">
        <v>38</v>
      </c>
      <c r="D612" t="s">
        <v>34</v>
      </c>
      <c r="E612">
        <v>2141.9</v>
      </c>
      <c r="F612">
        <v>1</v>
      </c>
      <c r="G612" t="s">
        <v>16</v>
      </c>
      <c r="H612">
        <v>641.67999999999995</v>
      </c>
      <c r="I612">
        <v>752.24</v>
      </c>
      <c r="J612">
        <f>Table2[[#This Row],[Sales_Amount]]-(Table2[[#This Row],[Quantity_Sold]]*Table2[[#This Row],[Unit_Cost]])</f>
        <v>1500.2200000000003</v>
      </c>
    </row>
    <row r="613" spans="1:10" x14ac:dyDescent="0.3">
      <c r="A613">
        <v>1062</v>
      </c>
      <c r="B613" s="1">
        <v>45270</v>
      </c>
      <c r="C613" t="s">
        <v>24</v>
      </c>
      <c r="D613" t="s">
        <v>21</v>
      </c>
      <c r="E613">
        <v>3979.41</v>
      </c>
      <c r="F613">
        <v>11</v>
      </c>
      <c r="G613" t="s">
        <v>35</v>
      </c>
      <c r="H613">
        <v>1190.08</v>
      </c>
      <c r="I613">
        <v>1292.9399999999901</v>
      </c>
      <c r="J613">
        <f>Table2[[#This Row],[Sales_Amount]]-(Table2[[#This Row],[Quantity_Sold]]*Table2[[#This Row],[Unit_Cost]])</f>
        <v>-9111.4699999999993</v>
      </c>
    </row>
    <row r="614" spans="1:10" x14ac:dyDescent="0.3">
      <c r="A614">
        <v>1084</v>
      </c>
      <c r="B614" s="1">
        <v>44937</v>
      </c>
      <c r="C614" t="s">
        <v>14</v>
      </c>
      <c r="D614" t="s">
        <v>34</v>
      </c>
      <c r="E614">
        <v>8967.18</v>
      </c>
      <c r="F614">
        <v>21</v>
      </c>
      <c r="G614" t="s">
        <v>29</v>
      </c>
      <c r="H614">
        <v>576.74</v>
      </c>
      <c r="I614">
        <v>648.29</v>
      </c>
      <c r="J614">
        <f>Table2[[#This Row],[Sales_Amount]]-(Table2[[#This Row],[Quantity_Sold]]*Table2[[#This Row],[Unit_Cost]])</f>
        <v>-3144.3600000000006</v>
      </c>
    </row>
    <row r="615" spans="1:10" x14ac:dyDescent="0.3">
      <c r="A615">
        <v>1089</v>
      </c>
      <c r="B615" s="1">
        <v>44988</v>
      </c>
      <c r="C615" t="s">
        <v>33</v>
      </c>
      <c r="D615" t="s">
        <v>15</v>
      </c>
      <c r="E615">
        <v>2122.73</v>
      </c>
      <c r="F615">
        <v>4</v>
      </c>
      <c r="G615" t="s">
        <v>16</v>
      </c>
      <c r="H615">
        <v>4117.67</v>
      </c>
      <c r="I615">
        <v>4280.0600000000004</v>
      </c>
      <c r="J615">
        <f>Table2[[#This Row],[Sales_Amount]]-(Table2[[#This Row],[Quantity_Sold]]*Table2[[#This Row],[Unit_Cost]])</f>
        <v>-14347.95</v>
      </c>
    </row>
    <row r="616" spans="1:10" x14ac:dyDescent="0.3">
      <c r="A616">
        <v>1086</v>
      </c>
      <c r="B616" s="1">
        <v>45259</v>
      </c>
      <c r="C616" t="s">
        <v>14</v>
      </c>
      <c r="D616" t="s">
        <v>21</v>
      </c>
      <c r="E616">
        <v>5127.2700000000004</v>
      </c>
      <c r="F616">
        <v>7</v>
      </c>
      <c r="G616" t="s">
        <v>26</v>
      </c>
      <c r="H616">
        <v>737.9</v>
      </c>
      <c r="I616">
        <v>1182</v>
      </c>
      <c r="J616">
        <f>Table2[[#This Row],[Sales_Amount]]-(Table2[[#This Row],[Quantity_Sold]]*Table2[[#This Row],[Unit_Cost]])</f>
        <v>-38.029999999999745</v>
      </c>
    </row>
    <row r="617" spans="1:10" x14ac:dyDescent="0.3">
      <c r="A617">
        <v>1013</v>
      </c>
      <c r="B617" s="1">
        <v>45152</v>
      </c>
      <c r="C617" t="s">
        <v>42</v>
      </c>
      <c r="D617" t="s">
        <v>34</v>
      </c>
      <c r="E617">
        <v>4250.79</v>
      </c>
      <c r="F617">
        <v>26</v>
      </c>
      <c r="G617" t="s">
        <v>29</v>
      </c>
      <c r="H617">
        <v>3749.12</v>
      </c>
      <c r="I617">
        <v>4138.83</v>
      </c>
      <c r="J617">
        <f>Table2[[#This Row],[Sales_Amount]]-(Table2[[#This Row],[Quantity_Sold]]*Table2[[#This Row],[Unit_Cost]])</f>
        <v>-93226.33</v>
      </c>
    </row>
    <row r="618" spans="1:10" x14ac:dyDescent="0.3">
      <c r="A618">
        <v>1059</v>
      </c>
      <c r="B618" s="1">
        <v>45079</v>
      </c>
      <c r="C618" t="s">
        <v>14</v>
      </c>
      <c r="D618" t="s">
        <v>21</v>
      </c>
      <c r="E618">
        <v>279.43</v>
      </c>
      <c r="F618">
        <v>47</v>
      </c>
      <c r="G618" t="s">
        <v>16</v>
      </c>
      <c r="H618">
        <v>287.17</v>
      </c>
      <c r="I618">
        <v>657.44</v>
      </c>
      <c r="J618">
        <f>Table2[[#This Row],[Sales_Amount]]-(Table2[[#This Row],[Quantity_Sold]]*Table2[[#This Row],[Unit_Cost]])</f>
        <v>-13217.560000000001</v>
      </c>
    </row>
    <row r="619" spans="1:10" x14ac:dyDescent="0.3">
      <c r="A619">
        <v>1019</v>
      </c>
      <c r="B619" s="1">
        <v>45125</v>
      </c>
      <c r="C619" t="s">
        <v>42</v>
      </c>
      <c r="D619" t="s">
        <v>15</v>
      </c>
      <c r="E619">
        <v>7948.31</v>
      </c>
      <c r="F619">
        <v>12</v>
      </c>
      <c r="G619" t="s">
        <v>29</v>
      </c>
      <c r="H619">
        <v>4745.18</v>
      </c>
      <c r="I619">
        <v>5145.88</v>
      </c>
      <c r="J619">
        <f>Table2[[#This Row],[Sales_Amount]]-(Table2[[#This Row],[Quantity_Sold]]*Table2[[#This Row],[Unit_Cost]])</f>
        <v>-48993.850000000006</v>
      </c>
    </row>
    <row r="620" spans="1:10" x14ac:dyDescent="0.3">
      <c r="A620">
        <v>1049</v>
      </c>
      <c r="B620" s="1">
        <v>44978</v>
      </c>
      <c r="C620" t="s">
        <v>42</v>
      </c>
      <c r="D620" t="s">
        <v>34</v>
      </c>
      <c r="E620">
        <v>783.55</v>
      </c>
      <c r="F620">
        <v>31</v>
      </c>
      <c r="G620" t="s">
        <v>35</v>
      </c>
      <c r="H620">
        <v>3570.24</v>
      </c>
      <c r="I620">
        <v>3712.25</v>
      </c>
      <c r="J620">
        <f>Table2[[#This Row],[Sales_Amount]]-(Table2[[#This Row],[Quantity_Sold]]*Table2[[#This Row],[Unit_Cost]])</f>
        <v>-109893.88999999998</v>
      </c>
    </row>
    <row r="621" spans="1:10" x14ac:dyDescent="0.3">
      <c r="A621">
        <v>1100</v>
      </c>
      <c r="B621" s="1">
        <v>45186</v>
      </c>
      <c r="C621" t="s">
        <v>33</v>
      </c>
      <c r="D621" t="s">
        <v>15</v>
      </c>
      <c r="E621">
        <v>4795.12</v>
      </c>
      <c r="F621">
        <v>17</v>
      </c>
      <c r="G621" t="s">
        <v>35</v>
      </c>
      <c r="H621">
        <v>83.64</v>
      </c>
      <c r="I621">
        <v>528.49</v>
      </c>
      <c r="J621">
        <f>Table2[[#This Row],[Sales_Amount]]-(Table2[[#This Row],[Quantity_Sold]]*Table2[[#This Row],[Unit_Cost]])</f>
        <v>3373.24</v>
      </c>
    </row>
    <row r="622" spans="1:10" x14ac:dyDescent="0.3">
      <c r="A622">
        <v>1012</v>
      </c>
      <c r="B622" s="1">
        <v>44985</v>
      </c>
      <c r="C622" t="s">
        <v>24</v>
      </c>
      <c r="D622" t="s">
        <v>34</v>
      </c>
      <c r="E622">
        <v>5650.72</v>
      </c>
      <c r="F622">
        <v>33</v>
      </c>
      <c r="G622" t="s">
        <v>26</v>
      </c>
      <c r="H622">
        <v>3831.09</v>
      </c>
      <c r="I622">
        <v>3908.37</v>
      </c>
      <c r="J622">
        <f>Table2[[#This Row],[Sales_Amount]]-(Table2[[#This Row],[Quantity_Sold]]*Table2[[#This Row],[Unit_Cost]])</f>
        <v>-120775.25</v>
      </c>
    </row>
    <row r="623" spans="1:10" x14ac:dyDescent="0.3">
      <c r="A623">
        <v>1061</v>
      </c>
      <c r="B623" s="1">
        <v>44998</v>
      </c>
      <c r="C623" t="s">
        <v>14</v>
      </c>
      <c r="D623" t="s">
        <v>25</v>
      </c>
      <c r="E623">
        <v>6321.42</v>
      </c>
      <c r="F623">
        <v>11</v>
      </c>
      <c r="G623" t="s">
        <v>29</v>
      </c>
      <c r="H623">
        <v>2594.71</v>
      </c>
      <c r="I623">
        <v>2769.52</v>
      </c>
      <c r="J623">
        <f>Table2[[#This Row],[Sales_Amount]]-(Table2[[#This Row],[Quantity_Sold]]*Table2[[#This Row],[Unit_Cost]])</f>
        <v>-22220.39</v>
      </c>
    </row>
    <row r="624" spans="1:10" x14ac:dyDescent="0.3">
      <c r="A624">
        <v>1019</v>
      </c>
      <c r="B624" s="1">
        <v>45074</v>
      </c>
      <c r="C624" t="s">
        <v>42</v>
      </c>
      <c r="D624" t="s">
        <v>34</v>
      </c>
      <c r="E624">
        <v>6917.45</v>
      </c>
      <c r="F624">
        <v>28</v>
      </c>
      <c r="G624" t="s">
        <v>16</v>
      </c>
      <c r="H624">
        <v>3907.86</v>
      </c>
      <c r="I624">
        <v>4205.37</v>
      </c>
      <c r="J624">
        <f>Table2[[#This Row],[Sales_Amount]]-(Table2[[#This Row],[Quantity_Sold]]*Table2[[#This Row],[Unit_Cost]])</f>
        <v>-102502.63</v>
      </c>
    </row>
    <row r="625" spans="1:10" x14ac:dyDescent="0.3">
      <c r="A625">
        <v>1076</v>
      </c>
      <c r="B625" s="1">
        <v>45275</v>
      </c>
      <c r="C625" t="s">
        <v>14</v>
      </c>
      <c r="D625" t="s">
        <v>21</v>
      </c>
      <c r="E625">
        <v>2607.4</v>
      </c>
      <c r="F625">
        <v>32</v>
      </c>
      <c r="G625" t="s">
        <v>26</v>
      </c>
      <c r="H625">
        <v>2636.36</v>
      </c>
      <c r="I625">
        <v>2696.78</v>
      </c>
      <c r="J625">
        <f>Table2[[#This Row],[Sales_Amount]]-(Table2[[#This Row],[Quantity_Sold]]*Table2[[#This Row],[Unit_Cost]])</f>
        <v>-81756.12000000001</v>
      </c>
    </row>
    <row r="626" spans="1:10" x14ac:dyDescent="0.3">
      <c r="A626">
        <v>1009</v>
      </c>
      <c r="B626" s="1">
        <v>44989</v>
      </c>
      <c r="C626" t="s">
        <v>24</v>
      </c>
      <c r="D626" t="s">
        <v>34</v>
      </c>
      <c r="E626">
        <v>198.79</v>
      </c>
      <c r="F626">
        <v>1</v>
      </c>
      <c r="G626" t="s">
        <v>29</v>
      </c>
      <c r="H626">
        <v>3223.07</v>
      </c>
      <c r="I626">
        <v>3590.83</v>
      </c>
      <c r="J626">
        <f>Table2[[#This Row],[Sales_Amount]]-(Table2[[#This Row],[Quantity_Sold]]*Table2[[#This Row],[Unit_Cost]])</f>
        <v>-3024.28</v>
      </c>
    </row>
    <row r="627" spans="1:10" x14ac:dyDescent="0.3">
      <c r="A627">
        <v>1071</v>
      </c>
      <c r="B627" s="1">
        <v>45236</v>
      </c>
      <c r="C627" t="s">
        <v>24</v>
      </c>
      <c r="D627" t="s">
        <v>15</v>
      </c>
      <c r="E627">
        <v>7262.09</v>
      </c>
      <c r="F627">
        <v>47</v>
      </c>
      <c r="G627" t="s">
        <v>26</v>
      </c>
      <c r="H627">
        <v>3942.34</v>
      </c>
      <c r="I627">
        <v>4142.09</v>
      </c>
      <c r="J627">
        <f>Table2[[#This Row],[Sales_Amount]]-(Table2[[#This Row],[Quantity_Sold]]*Table2[[#This Row],[Unit_Cost]])</f>
        <v>-178027.89</v>
      </c>
    </row>
    <row r="628" spans="1:10" x14ac:dyDescent="0.3">
      <c r="A628">
        <v>1028</v>
      </c>
      <c r="B628" s="1">
        <v>45169</v>
      </c>
      <c r="C628" t="s">
        <v>38</v>
      </c>
      <c r="D628" t="s">
        <v>15</v>
      </c>
      <c r="E628">
        <v>5403</v>
      </c>
      <c r="F628">
        <v>28</v>
      </c>
      <c r="G628" t="s">
        <v>16</v>
      </c>
      <c r="H628">
        <v>2055.2800000000002</v>
      </c>
      <c r="I628">
        <v>2449.64</v>
      </c>
      <c r="J628">
        <f>Table2[[#This Row],[Sales_Amount]]-(Table2[[#This Row],[Quantity_Sold]]*Table2[[#This Row],[Unit_Cost]])</f>
        <v>-52144.840000000004</v>
      </c>
    </row>
    <row r="629" spans="1:10" x14ac:dyDescent="0.3">
      <c r="A629">
        <v>1078</v>
      </c>
      <c r="B629" s="1">
        <v>45292</v>
      </c>
      <c r="C629" t="s">
        <v>24</v>
      </c>
      <c r="D629" t="s">
        <v>34</v>
      </c>
      <c r="E629">
        <v>8377.57</v>
      </c>
      <c r="F629">
        <v>42</v>
      </c>
      <c r="G629" t="s">
        <v>26</v>
      </c>
      <c r="H629">
        <v>63.41</v>
      </c>
      <c r="I629">
        <v>314.93</v>
      </c>
      <c r="J629">
        <f>Table2[[#This Row],[Sales_Amount]]-(Table2[[#This Row],[Quantity_Sold]]*Table2[[#This Row],[Unit_Cost]])</f>
        <v>5714.35</v>
      </c>
    </row>
    <row r="630" spans="1:10" x14ac:dyDescent="0.3">
      <c r="A630">
        <v>1095</v>
      </c>
      <c r="B630" s="1">
        <v>45256</v>
      </c>
      <c r="C630" t="s">
        <v>33</v>
      </c>
      <c r="D630" t="s">
        <v>21</v>
      </c>
      <c r="E630">
        <v>8231.74</v>
      </c>
      <c r="F630">
        <v>7</v>
      </c>
      <c r="G630" t="s">
        <v>26</v>
      </c>
      <c r="H630">
        <v>4257.24</v>
      </c>
      <c r="I630">
        <v>4355.87</v>
      </c>
      <c r="J630">
        <f>Table2[[#This Row],[Sales_Amount]]-(Table2[[#This Row],[Quantity_Sold]]*Table2[[#This Row],[Unit_Cost]])</f>
        <v>-21568.940000000002</v>
      </c>
    </row>
    <row r="631" spans="1:10" x14ac:dyDescent="0.3">
      <c r="A631">
        <v>1052</v>
      </c>
      <c r="B631" s="1">
        <v>45033</v>
      </c>
      <c r="C631" t="s">
        <v>42</v>
      </c>
      <c r="D631" t="s">
        <v>25</v>
      </c>
      <c r="E631">
        <v>8448.93</v>
      </c>
      <c r="F631">
        <v>2</v>
      </c>
      <c r="G631" t="s">
        <v>26</v>
      </c>
      <c r="H631">
        <v>1935.41</v>
      </c>
      <c r="I631">
        <v>2305.44</v>
      </c>
      <c r="J631">
        <f>Table2[[#This Row],[Sales_Amount]]-(Table2[[#This Row],[Quantity_Sold]]*Table2[[#This Row],[Unit_Cost]])</f>
        <v>4578.1100000000006</v>
      </c>
    </row>
    <row r="632" spans="1:10" x14ac:dyDescent="0.3">
      <c r="A632">
        <v>1083</v>
      </c>
      <c r="B632" s="1">
        <v>45152</v>
      </c>
      <c r="C632" t="s">
        <v>38</v>
      </c>
      <c r="D632" t="s">
        <v>21</v>
      </c>
      <c r="E632">
        <v>4902.4399999999996</v>
      </c>
      <c r="F632">
        <v>42</v>
      </c>
      <c r="G632" t="s">
        <v>29</v>
      </c>
      <c r="H632">
        <v>2505.41</v>
      </c>
      <c r="I632">
        <v>2638.96</v>
      </c>
      <c r="J632">
        <f>Table2[[#This Row],[Sales_Amount]]-(Table2[[#This Row],[Quantity_Sold]]*Table2[[#This Row],[Unit_Cost]])</f>
        <v>-100324.78</v>
      </c>
    </row>
    <row r="633" spans="1:10" x14ac:dyDescent="0.3">
      <c r="A633">
        <v>1016</v>
      </c>
      <c r="B633" s="1">
        <v>45239</v>
      </c>
      <c r="C633" t="s">
        <v>33</v>
      </c>
      <c r="D633" t="s">
        <v>25</v>
      </c>
      <c r="E633">
        <v>3402.92</v>
      </c>
      <c r="F633">
        <v>24</v>
      </c>
      <c r="G633" t="s">
        <v>16</v>
      </c>
      <c r="H633">
        <v>88.44</v>
      </c>
      <c r="I633">
        <v>338.94</v>
      </c>
      <c r="J633">
        <f>Table2[[#This Row],[Sales_Amount]]-(Table2[[#This Row],[Quantity_Sold]]*Table2[[#This Row],[Unit_Cost]])</f>
        <v>1280.3600000000001</v>
      </c>
    </row>
    <row r="634" spans="1:10" x14ac:dyDescent="0.3">
      <c r="A634">
        <v>1069</v>
      </c>
      <c r="B634" s="1">
        <v>45144</v>
      </c>
      <c r="C634" t="s">
        <v>14</v>
      </c>
      <c r="D634" t="s">
        <v>15</v>
      </c>
      <c r="E634">
        <v>7936.43</v>
      </c>
      <c r="F634">
        <v>4</v>
      </c>
      <c r="G634" t="s">
        <v>35</v>
      </c>
      <c r="H634">
        <v>2485.86</v>
      </c>
      <c r="I634">
        <v>2532.87</v>
      </c>
      <c r="J634">
        <f>Table2[[#This Row],[Sales_Amount]]-(Table2[[#This Row],[Quantity_Sold]]*Table2[[#This Row],[Unit_Cost]])</f>
        <v>-2007.0100000000002</v>
      </c>
    </row>
    <row r="635" spans="1:10" x14ac:dyDescent="0.3">
      <c r="A635">
        <v>1099</v>
      </c>
      <c r="B635" s="1">
        <v>45167</v>
      </c>
      <c r="C635" t="s">
        <v>42</v>
      </c>
      <c r="D635" t="s">
        <v>21</v>
      </c>
      <c r="E635">
        <v>4567.8100000000004</v>
      </c>
      <c r="F635">
        <v>44</v>
      </c>
      <c r="G635" t="s">
        <v>29</v>
      </c>
      <c r="H635">
        <v>4933.1099999999997</v>
      </c>
      <c r="I635">
        <v>5245.86</v>
      </c>
      <c r="J635">
        <f>Table2[[#This Row],[Sales_Amount]]-(Table2[[#This Row],[Quantity_Sold]]*Table2[[#This Row],[Unit_Cost]])</f>
        <v>-212489.03</v>
      </c>
    </row>
    <row r="636" spans="1:10" x14ac:dyDescent="0.3">
      <c r="A636">
        <v>1012</v>
      </c>
      <c r="B636" s="1">
        <v>45185</v>
      </c>
      <c r="C636" t="s">
        <v>24</v>
      </c>
      <c r="D636" t="s">
        <v>25</v>
      </c>
      <c r="E636">
        <v>1916.08</v>
      </c>
      <c r="F636">
        <v>19</v>
      </c>
      <c r="G636" t="s">
        <v>35</v>
      </c>
      <c r="H636">
        <v>1427.42</v>
      </c>
      <c r="I636">
        <v>1763.69</v>
      </c>
      <c r="J636">
        <f>Table2[[#This Row],[Sales_Amount]]-(Table2[[#This Row],[Quantity_Sold]]*Table2[[#This Row],[Unit_Cost]])</f>
        <v>-25204.9</v>
      </c>
    </row>
    <row r="637" spans="1:10" x14ac:dyDescent="0.3">
      <c r="A637">
        <v>1025</v>
      </c>
      <c r="B637" s="1">
        <v>45188</v>
      </c>
      <c r="C637" t="s">
        <v>42</v>
      </c>
      <c r="D637" t="s">
        <v>34</v>
      </c>
      <c r="E637">
        <v>8564.24</v>
      </c>
      <c r="F637">
        <v>26</v>
      </c>
      <c r="G637" t="s">
        <v>35</v>
      </c>
      <c r="H637">
        <v>2007.32</v>
      </c>
      <c r="I637">
        <v>2202.87</v>
      </c>
      <c r="J637">
        <f>Table2[[#This Row],[Sales_Amount]]-(Table2[[#This Row],[Quantity_Sold]]*Table2[[#This Row],[Unit_Cost]])</f>
        <v>-43626.080000000002</v>
      </c>
    </row>
    <row r="638" spans="1:10" x14ac:dyDescent="0.3">
      <c r="A638">
        <v>1052</v>
      </c>
      <c r="B638" s="1">
        <v>44931</v>
      </c>
      <c r="C638" t="s">
        <v>14</v>
      </c>
      <c r="D638" t="s">
        <v>15</v>
      </c>
      <c r="E638">
        <v>8837.34</v>
      </c>
      <c r="F638">
        <v>11</v>
      </c>
      <c r="G638" t="s">
        <v>29</v>
      </c>
      <c r="H638">
        <v>3451.59</v>
      </c>
      <c r="I638">
        <v>3929.26</v>
      </c>
      <c r="J638">
        <f>Table2[[#This Row],[Sales_Amount]]-(Table2[[#This Row],[Quantity_Sold]]*Table2[[#This Row],[Unit_Cost]])</f>
        <v>-29130.150000000005</v>
      </c>
    </row>
    <row r="639" spans="1:10" x14ac:dyDescent="0.3">
      <c r="A639">
        <v>1085</v>
      </c>
      <c r="B639" s="1">
        <v>45187</v>
      </c>
      <c r="C639" t="s">
        <v>38</v>
      </c>
      <c r="D639" t="s">
        <v>34</v>
      </c>
      <c r="E639">
        <v>4716.47</v>
      </c>
      <c r="F639">
        <v>40</v>
      </c>
      <c r="G639" t="s">
        <v>29</v>
      </c>
      <c r="H639">
        <v>4083.23</v>
      </c>
      <c r="I639">
        <v>4521.57</v>
      </c>
      <c r="J639">
        <f>Table2[[#This Row],[Sales_Amount]]-(Table2[[#This Row],[Quantity_Sold]]*Table2[[#This Row],[Unit_Cost]])</f>
        <v>-158612.73000000001</v>
      </c>
    </row>
    <row r="640" spans="1:10" x14ac:dyDescent="0.3">
      <c r="A640">
        <v>1100</v>
      </c>
      <c r="B640" s="1">
        <v>44980</v>
      </c>
      <c r="C640" t="s">
        <v>38</v>
      </c>
      <c r="D640" t="s">
        <v>15</v>
      </c>
      <c r="E640">
        <v>849.43</v>
      </c>
      <c r="F640">
        <v>43</v>
      </c>
      <c r="G640" t="s">
        <v>16</v>
      </c>
      <c r="H640">
        <v>2116.09</v>
      </c>
      <c r="I640">
        <v>2472.98</v>
      </c>
      <c r="J640">
        <f>Table2[[#This Row],[Sales_Amount]]-(Table2[[#This Row],[Quantity_Sold]]*Table2[[#This Row],[Unit_Cost]])</f>
        <v>-90142.440000000017</v>
      </c>
    </row>
    <row r="641" spans="1:10" x14ac:dyDescent="0.3">
      <c r="A641">
        <v>1053</v>
      </c>
      <c r="B641" s="1">
        <v>44973</v>
      </c>
      <c r="C641" t="s">
        <v>38</v>
      </c>
      <c r="D641" t="s">
        <v>21</v>
      </c>
      <c r="E641">
        <v>3939.48</v>
      </c>
      <c r="F641">
        <v>11</v>
      </c>
      <c r="G641" t="s">
        <v>16</v>
      </c>
      <c r="H641">
        <v>1582.86</v>
      </c>
      <c r="I641">
        <v>1942.55</v>
      </c>
      <c r="J641">
        <f>Table2[[#This Row],[Sales_Amount]]-(Table2[[#This Row],[Quantity_Sold]]*Table2[[#This Row],[Unit_Cost]])</f>
        <v>-13471.98</v>
      </c>
    </row>
    <row r="642" spans="1:10" x14ac:dyDescent="0.3">
      <c r="A642">
        <v>1023</v>
      </c>
      <c r="B642" s="1">
        <v>45141</v>
      </c>
      <c r="C642" t="s">
        <v>24</v>
      </c>
      <c r="D642" t="s">
        <v>21</v>
      </c>
      <c r="E642">
        <v>8055.02</v>
      </c>
      <c r="F642">
        <v>45</v>
      </c>
      <c r="G642" t="s">
        <v>26</v>
      </c>
      <c r="H642">
        <v>4692.24</v>
      </c>
      <c r="I642">
        <v>4825.92</v>
      </c>
      <c r="J642">
        <f>Table2[[#This Row],[Sales_Amount]]-(Table2[[#This Row],[Quantity_Sold]]*Table2[[#This Row],[Unit_Cost]])</f>
        <v>-203095.78</v>
      </c>
    </row>
    <row r="643" spans="1:10" x14ac:dyDescent="0.3">
      <c r="A643">
        <v>1016</v>
      </c>
      <c r="B643" s="1">
        <v>45103</v>
      </c>
      <c r="C643" t="s">
        <v>33</v>
      </c>
      <c r="D643" t="s">
        <v>15</v>
      </c>
      <c r="E643">
        <v>9027.56</v>
      </c>
      <c r="F643">
        <v>3</v>
      </c>
      <c r="G643" t="s">
        <v>35</v>
      </c>
      <c r="H643">
        <v>3401.87</v>
      </c>
      <c r="I643">
        <v>3733.71</v>
      </c>
      <c r="J643">
        <f>Table2[[#This Row],[Sales_Amount]]-(Table2[[#This Row],[Quantity_Sold]]*Table2[[#This Row],[Unit_Cost]])</f>
        <v>-1178.0500000000011</v>
      </c>
    </row>
    <row r="644" spans="1:10" x14ac:dyDescent="0.3">
      <c r="A644">
        <v>1057</v>
      </c>
      <c r="B644" s="1">
        <v>44935</v>
      </c>
      <c r="C644" t="s">
        <v>33</v>
      </c>
      <c r="D644" t="s">
        <v>15</v>
      </c>
      <c r="E644">
        <v>2114.38</v>
      </c>
      <c r="F644">
        <v>12</v>
      </c>
      <c r="G644" t="s">
        <v>16</v>
      </c>
      <c r="H644">
        <v>639.16</v>
      </c>
      <c r="I644">
        <v>746.28</v>
      </c>
      <c r="J644">
        <f>Table2[[#This Row],[Sales_Amount]]-(Table2[[#This Row],[Quantity_Sold]]*Table2[[#This Row],[Unit_Cost]])</f>
        <v>-5555.54</v>
      </c>
    </row>
    <row r="645" spans="1:10" x14ac:dyDescent="0.3">
      <c r="A645">
        <v>1039</v>
      </c>
      <c r="B645" s="1">
        <v>45025</v>
      </c>
      <c r="C645" t="s">
        <v>42</v>
      </c>
      <c r="D645" t="s">
        <v>15</v>
      </c>
      <c r="E645">
        <v>763.04</v>
      </c>
      <c r="F645">
        <v>3</v>
      </c>
      <c r="G645" t="s">
        <v>26</v>
      </c>
      <c r="H645">
        <v>391.19</v>
      </c>
      <c r="I645">
        <v>471.75</v>
      </c>
      <c r="J645">
        <f>Table2[[#This Row],[Sales_Amount]]-(Table2[[#This Row],[Quantity_Sold]]*Table2[[#This Row],[Unit_Cost]])</f>
        <v>-410.53</v>
      </c>
    </row>
    <row r="646" spans="1:10" x14ac:dyDescent="0.3">
      <c r="A646">
        <v>1053</v>
      </c>
      <c r="B646" s="1">
        <v>44946</v>
      </c>
      <c r="C646" t="s">
        <v>24</v>
      </c>
      <c r="D646" t="s">
        <v>21</v>
      </c>
      <c r="E646">
        <v>8785.77</v>
      </c>
      <c r="F646">
        <v>42</v>
      </c>
      <c r="G646" t="s">
        <v>16</v>
      </c>
      <c r="H646">
        <v>2443.5700000000002</v>
      </c>
      <c r="I646">
        <v>2943.31</v>
      </c>
      <c r="J646">
        <f>Table2[[#This Row],[Sales_Amount]]-(Table2[[#This Row],[Quantity_Sold]]*Table2[[#This Row],[Unit_Cost]])</f>
        <v>-93844.17</v>
      </c>
    </row>
    <row r="647" spans="1:10" x14ac:dyDescent="0.3">
      <c r="A647">
        <v>1042</v>
      </c>
      <c r="B647" s="1">
        <v>45167</v>
      </c>
      <c r="C647" t="s">
        <v>38</v>
      </c>
      <c r="D647" t="s">
        <v>25</v>
      </c>
      <c r="E647">
        <v>3955.11</v>
      </c>
      <c r="F647">
        <v>27</v>
      </c>
      <c r="G647" t="s">
        <v>29</v>
      </c>
      <c r="H647">
        <v>1139.45</v>
      </c>
      <c r="I647">
        <v>1454.41</v>
      </c>
      <c r="J647">
        <f>Table2[[#This Row],[Sales_Amount]]-(Table2[[#This Row],[Quantity_Sold]]*Table2[[#This Row],[Unit_Cost]])</f>
        <v>-26810.04</v>
      </c>
    </row>
    <row r="648" spans="1:10" x14ac:dyDescent="0.3">
      <c r="A648">
        <v>1058</v>
      </c>
      <c r="B648" s="1">
        <v>44987</v>
      </c>
      <c r="C648" t="s">
        <v>38</v>
      </c>
      <c r="D648" t="s">
        <v>34</v>
      </c>
      <c r="E648">
        <v>5463.43</v>
      </c>
      <c r="F648">
        <v>49</v>
      </c>
      <c r="G648" t="s">
        <v>16</v>
      </c>
      <c r="H648">
        <v>1307.22</v>
      </c>
      <c r="I648">
        <v>1528.4</v>
      </c>
      <c r="J648">
        <f>Table2[[#This Row],[Sales_Amount]]-(Table2[[#This Row],[Quantity_Sold]]*Table2[[#This Row],[Unit_Cost]])</f>
        <v>-58590.35</v>
      </c>
    </row>
    <row r="649" spans="1:10" x14ac:dyDescent="0.3">
      <c r="A649">
        <v>1039</v>
      </c>
      <c r="B649" s="1">
        <v>45104</v>
      </c>
      <c r="C649" t="s">
        <v>14</v>
      </c>
      <c r="D649" t="s">
        <v>34</v>
      </c>
      <c r="E649">
        <v>9683.85</v>
      </c>
      <c r="F649">
        <v>2</v>
      </c>
      <c r="G649" t="s">
        <v>35</v>
      </c>
      <c r="H649">
        <v>4394.58</v>
      </c>
      <c r="I649">
        <v>4545.78</v>
      </c>
      <c r="J649">
        <f>Table2[[#This Row],[Sales_Amount]]-(Table2[[#This Row],[Quantity_Sold]]*Table2[[#This Row],[Unit_Cost]])</f>
        <v>894.69000000000051</v>
      </c>
    </row>
    <row r="650" spans="1:10" x14ac:dyDescent="0.3">
      <c r="A650">
        <v>1014</v>
      </c>
      <c r="B650" s="1">
        <v>45264</v>
      </c>
      <c r="C650" t="s">
        <v>14</v>
      </c>
      <c r="D650" t="s">
        <v>21</v>
      </c>
      <c r="E650">
        <v>758.99</v>
      </c>
      <c r="F650">
        <v>49</v>
      </c>
      <c r="G650" t="s">
        <v>16</v>
      </c>
      <c r="H650">
        <v>493.35</v>
      </c>
      <c r="I650">
        <v>799.27</v>
      </c>
      <c r="J650">
        <f>Table2[[#This Row],[Sales_Amount]]-(Table2[[#This Row],[Quantity_Sold]]*Table2[[#This Row],[Unit_Cost]])</f>
        <v>-23415.16</v>
      </c>
    </row>
    <row r="651" spans="1:10" x14ac:dyDescent="0.3">
      <c r="A651">
        <v>1095</v>
      </c>
      <c r="B651" s="1">
        <v>44988</v>
      </c>
      <c r="C651" t="s">
        <v>38</v>
      </c>
      <c r="D651" t="s">
        <v>34</v>
      </c>
      <c r="E651">
        <v>6518.35</v>
      </c>
      <c r="F651">
        <v>16</v>
      </c>
      <c r="G651" t="s">
        <v>35</v>
      </c>
      <c r="H651">
        <v>3591.05</v>
      </c>
      <c r="I651">
        <v>3625.35</v>
      </c>
      <c r="J651">
        <f>Table2[[#This Row],[Sales_Amount]]-(Table2[[#This Row],[Quantity_Sold]]*Table2[[#This Row],[Unit_Cost]])</f>
        <v>-50938.450000000004</v>
      </c>
    </row>
    <row r="652" spans="1:10" x14ac:dyDescent="0.3">
      <c r="A652">
        <v>1005</v>
      </c>
      <c r="B652" s="1">
        <v>45071</v>
      </c>
      <c r="C652" t="s">
        <v>38</v>
      </c>
      <c r="D652" t="s">
        <v>15</v>
      </c>
      <c r="E652">
        <v>833.64</v>
      </c>
      <c r="F652">
        <v>2</v>
      </c>
      <c r="G652" t="s">
        <v>29</v>
      </c>
      <c r="H652">
        <v>1392.15</v>
      </c>
      <c r="I652">
        <v>1448.54</v>
      </c>
      <c r="J652">
        <f>Table2[[#This Row],[Sales_Amount]]-(Table2[[#This Row],[Quantity_Sold]]*Table2[[#This Row],[Unit_Cost]])</f>
        <v>-1950.6600000000003</v>
      </c>
    </row>
    <row r="653" spans="1:10" x14ac:dyDescent="0.3">
      <c r="A653">
        <v>1035</v>
      </c>
      <c r="B653" s="1">
        <v>45142</v>
      </c>
      <c r="C653" t="s">
        <v>24</v>
      </c>
      <c r="D653" t="s">
        <v>25</v>
      </c>
      <c r="E653">
        <v>3817.14</v>
      </c>
      <c r="F653">
        <v>30</v>
      </c>
      <c r="G653" t="s">
        <v>35</v>
      </c>
      <c r="H653">
        <v>3813.62</v>
      </c>
      <c r="I653">
        <v>3839.72</v>
      </c>
      <c r="J653">
        <f>Table2[[#This Row],[Sales_Amount]]-(Table2[[#This Row],[Quantity_Sold]]*Table2[[#This Row],[Unit_Cost]])</f>
        <v>-110591.45999999999</v>
      </c>
    </row>
    <row r="654" spans="1:10" x14ac:dyDescent="0.3">
      <c r="A654">
        <v>1087</v>
      </c>
      <c r="B654" s="1">
        <v>44929</v>
      </c>
      <c r="C654" t="s">
        <v>33</v>
      </c>
      <c r="D654" t="s">
        <v>34</v>
      </c>
      <c r="E654">
        <v>8057.76</v>
      </c>
      <c r="F654">
        <v>20</v>
      </c>
      <c r="G654" t="s">
        <v>16</v>
      </c>
      <c r="H654">
        <v>3625.94</v>
      </c>
      <c r="I654">
        <v>3880.53</v>
      </c>
      <c r="J654">
        <f>Table2[[#This Row],[Sales_Amount]]-(Table2[[#This Row],[Quantity_Sold]]*Table2[[#This Row],[Unit_Cost]])</f>
        <v>-64461.04</v>
      </c>
    </row>
    <row r="655" spans="1:10" x14ac:dyDescent="0.3">
      <c r="A655">
        <v>1093</v>
      </c>
      <c r="B655" s="1">
        <v>45086</v>
      </c>
      <c r="C655" t="s">
        <v>14</v>
      </c>
      <c r="D655" t="s">
        <v>25</v>
      </c>
      <c r="E655">
        <v>4391.38</v>
      </c>
      <c r="F655">
        <v>38</v>
      </c>
      <c r="G655" t="s">
        <v>26</v>
      </c>
      <c r="H655">
        <v>86.59</v>
      </c>
      <c r="I655">
        <v>390.89</v>
      </c>
      <c r="J655">
        <f>Table2[[#This Row],[Sales_Amount]]-(Table2[[#This Row],[Quantity_Sold]]*Table2[[#This Row],[Unit_Cost]])</f>
        <v>1100.96</v>
      </c>
    </row>
    <row r="656" spans="1:10" x14ac:dyDescent="0.3">
      <c r="A656">
        <v>1075</v>
      </c>
      <c r="B656" s="1">
        <v>45153</v>
      </c>
      <c r="C656" t="s">
        <v>33</v>
      </c>
      <c r="D656" t="s">
        <v>15</v>
      </c>
      <c r="E656">
        <v>9972.11</v>
      </c>
      <c r="F656">
        <v>28</v>
      </c>
      <c r="G656" t="s">
        <v>29</v>
      </c>
      <c r="H656">
        <v>2570.2199999999998</v>
      </c>
      <c r="I656">
        <v>2610.8399999999901</v>
      </c>
      <c r="J656">
        <f>Table2[[#This Row],[Sales_Amount]]-(Table2[[#This Row],[Quantity_Sold]]*Table2[[#This Row],[Unit_Cost]])</f>
        <v>-61994.049999999988</v>
      </c>
    </row>
    <row r="657" spans="1:10" x14ac:dyDescent="0.3">
      <c r="A657">
        <v>1018</v>
      </c>
      <c r="B657" s="1">
        <v>45195</v>
      </c>
      <c r="C657" t="s">
        <v>24</v>
      </c>
      <c r="D657" t="s">
        <v>34</v>
      </c>
      <c r="E657">
        <v>5634.69</v>
      </c>
      <c r="F657">
        <v>25</v>
      </c>
      <c r="G657" t="s">
        <v>16</v>
      </c>
      <c r="H657">
        <v>739.63</v>
      </c>
      <c r="I657">
        <v>1103.03</v>
      </c>
      <c r="J657">
        <f>Table2[[#This Row],[Sales_Amount]]-(Table2[[#This Row],[Quantity_Sold]]*Table2[[#This Row],[Unit_Cost]])</f>
        <v>-12856.060000000001</v>
      </c>
    </row>
    <row r="658" spans="1:10" x14ac:dyDescent="0.3">
      <c r="A658">
        <v>1076</v>
      </c>
      <c r="B658" s="1">
        <v>45046</v>
      </c>
      <c r="C658" t="s">
        <v>38</v>
      </c>
      <c r="D658" t="s">
        <v>21</v>
      </c>
      <c r="E658">
        <v>3279.51</v>
      </c>
      <c r="F658">
        <v>32</v>
      </c>
      <c r="G658" t="s">
        <v>29</v>
      </c>
      <c r="H658">
        <v>4337.82</v>
      </c>
      <c r="I658">
        <v>4460.71</v>
      </c>
      <c r="J658">
        <f>Table2[[#This Row],[Sales_Amount]]-(Table2[[#This Row],[Quantity_Sold]]*Table2[[#This Row],[Unit_Cost]])</f>
        <v>-135530.72999999998</v>
      </c>
    </row>
    <row r="659" spans="1:10" x14ac:dyDescent="0.3">
      <c r="A659">
        <v>1009</v>
      </c>
      <c r="B659" s="1">
        <v>45015</v>
      </c>
      <c r="C659" t="s">
        <v>33</v>
      </c>
      <c r="D659" t="s">
        <v>25</v>
      </c>
      <c r="E659">
        <v>2279.1</v>
      </c>
      <c r="F659">
        <v>10</v>
      </c>
      <c r="G659" t="s">
        <v>29</v>
      </c>
      <c r="H659">
        <v>4364.3500000000004</v>
      </c>
      <c r="I659">
        <v>4710.1000000000004</v>
      </c>
      <c r="J659">
        <f>Table2[[#This Row],[Sales_Amount]]-(Table2[[#This Row],[Quantity_Sold]]*Table2[[#This Row],[Unit_Cost]])</f>
        <v>-41364.400000000001</v>
      </c>
    </row>
    <row r="660" spans="1:10" x14ac:dyDescent="0.3">
      <c r="A660">
        <v>1074</v>
      </c>
      <c r="B660" s="1">
        <v>45255</v>
      </c>
      <c r="C660" t="s">
        <v>38</v>
      </c>
      <c r="D660" t="s">
        <v>15</v>
      </c>
      <c r="E660">
        <v>3570.15</v>
      </c>
      <c r="F660">
        <v>42</v>
      </c>
      <c r="G660" t="s">
        <v>16</v>
      </c>
      <c r="H660">
        <v>2120.81</v>
      </c>
      <c r="I660">
        <v>2611.94</v>
      </c>
      <c r="J660">
        <f>Table2[[#This Row],[Sales_Amount]]-(Table2[[#This Row],[Quantity_Sold]]*Table2[[#This Row],[Unit_Cost]])</f>
        <v>-85503.87000000001</v>
      </c>
    </row>
    <row r="661" spans="1:10" x14ac:dyDescent="0.3">
      <c r="A661">
        <v>1058</v>
      </c>
      <c r="B661" s="1">
        <v>44994</v>
      </c>
      <c r="C661" t="s">
        <v>38</v>
      </c>
      <c r="D661" t="s">
        <v>25</v>
      </c>
      <c r="E661">
        <v>3788.08</v>
      </c>
      <c r="F661">
        <v>40</v>
      </c>
      <c r="G661" t="s">
        <v>16</v>
      </c>
      <c r="H661">
        <v>2249.7600000000002</v>
      </c>
      <c r="I661">
        <v>2598.4</v>
      </c>
      <c r="J661">
        <f>Table2[[#This Row],[Sales_Amount]]-(Table2[[#This Row],[Quantity_Sold]]*Table2[[#This Row],[Unit_Cost]])</f>
        <v>-86202.32</v>
      </c>
    </row>
    <row r="662" spans="1:10" x14ac:dyDescent="0.3">
      <c r="A662">
        <v>1017</v>
      </c>
      <c r="B662" s="1">
        <v>45283</v>
      </c>
      <c r="C662" t="s">
        <v>42</v>
      </c>
      <c r="D662" t="s">
        <v>34</v>
      </c>
      <c r="E662">
        <v>780.27</v>
      </c>
      <c r="F662">
        <v>33</v>
      </c>
      <c r="G662" t="s">
        <v>26</v>
      </c>
      <c r="H662">
        <v>1551.25</v>
      </c>
      <c r="I662">
        <v>1994.01</v>
      </c>
      <c r="J662">
        <f>Table2[[#This Row],[Sales_Amount]]-(Table2[[#This Row],[Quantity_Sold]]*Table2[[#This Row],[Unit_Cost]])</f>
        <v>-50410.98</v>
      </c>
    </row>
    <row r="663" spans="1:10" x14ac:dyDescent="0.3">
      <c r="A663">
        <v>1007</v>
      </c>
      <c r="B663" s="1">
        <v>45024</v>
      </c>
      <c r="C663" t="s">
        <v>33</v>
      </c>
      <c r="D663" t="s">
        <v>34</v>
      </c>
      <c r="E663">
        <v>3758.78</v>
      </c>
      <c r="F663">
        <v>13</v>
      </c>
      <c r="G663" t="s">
        <v>29</v>
      </c>
      <c r="H663">
        <v>3597.2</v>
      </c>
      <c r="I663">
        <v>4071.8199999999902</v>
      </c>
      <c r="J663">
        <f>Table2[[#This Row],[Sales_Amount]]-(Table2[[#This Row],[Quantity_Sold]]*Table2[[#This Row],[Unit_Cost]])</f>
        <v>-43004.82</v>
      </c>
    </row>
    <row r="664" spans="1:10" x14ac:dyDescent="0.3">
      <c r="A664">
        <v>1046</v>
      </c>
      <c r="B664" s="1">
        <v>45193</v>
      </c>
      <c r="C664" t="s">
        <v>33</v>
      </c>
      <c r="D664" t="s">
        <v>21</v>
      </c>
      <c r="E664">
        <v>4695.96</v>
      </c>
      <c r="F664">
        <v>41</v>
      </c>
      <c r="G664" t="s">
        <v>29</v>
      </c>
      <c r="H664">
        <v>1825.37</v>
      </c>
      <c r="I664">
        <v>2073.88</v>
      </c>
      <c r="J664">
        <f>Table2[[#This Row],[Sales_Amount]]-(Table2[[#This Row],[Quantity_Sold]]*Table2[[#This Row],[Unit_Cost]])</f>
        <v>-70144.209999999992</v>
      </c>
    </row>
    <row r="665" spans="1:10" x14ac:dyDescent="0.3">
      <c r="A665">
        <v>1013</v>
      </c>
      <c r="B665" s="1">
        <v>45031</v>
      </c>
      <c r="C665" t="s">
        <v>38</v>
      </c>
      <c r="D665" t="s">
        <v>15</v>
      </c>
      <c r="E665">
        <v>7255.1</v>
      </c>
      <c r="F665">
        <v>42</v>
      </c>
      <c r="G665" t="s">
        <v>16</v>
      </c>
      <c r="H665">
        <v>1375.57</v>
      </c>
      <c r="I665">
        <v>1729.71</v>
      </c>
      <c r="J665">
        <f>Table2[[#This Row],[Sales_Amount]]-(Table2[[#This Row],[Quantity_Sold]]*Table2[[#This Row],[Unit_Cost]])</f>
        <v>-50518.84</v>
      </c>
    </row>
    <row r="666" spans="1:10" x14ac:dyDescent="0.3">
      <c r="A666">
        <v>1040</v>
      </c>
      <c r="B666" s="1">
        <v>45249</v>
      </c>
      <c r="C666" t="s">
        <v>24</v>
      </c>
      <c r="D666" t="s">
        <v>15</v>
      </c>
      <c r="E666">
        <v>6601.62</v>
      </c>
      <c r="F666">
        <v>47</v>
      </c>
      <c r="G666" t="s">
        <v>35</v>
      </c>
      <c r="H666">
        <v>2189.54</v>
      </c>
      <c r="I666">
        <v>2617</v>
      </c>
      <c r="J666">
        <f>Table2[[#This Row],[Sales_Amount]]-(Table2[[#This Row],[Quantity_Sold]]*Table2[[#This Row],[Unit_Cost]])</f>
        <v>-96306.760000000009</v>
      </c>
    </row>
    <row r="667" spans="1:10" x14ac:dyDescent="0.3">
      <c r="A667">
        <v>1042</v>
      </c>
      <c r="B667" s="1">
        <v>45049</v>
      </c>
      <c r="C667" t="s">
        <v>42</v>
      </c>
      <c r="D667" t="s">
        <v>21</v>
      </c>
      <c r="E667">
        <v>7116.78</v>
      </c>
      <c r="F667">
        <v>37</v>
      </c>
      <c r="G667" t="s">
        <v>16</v>
      </c>
      <c r="H667">
        <v>502.86</v>
      </c>
      <c r="I667">
        <v>687.6</v>
      </c>
      <c r="J667">
        <f>Table2[[#This Row],[Sales_Amount]]-(Table2[[#This Row],[Quantity_Sold]]*Table2[[#This Row],[Unit_Cost]])</f>
        <v>-11489.04</v>
      </c>
    </row>
    <row r="668" spans="1:10" x14ac:dyDescent="0.3">
      <c r="A668">
        <v>1009</v>
      </c>
      <c r="B668" s="1">
        <v>44955</v>
      </c>
      <c r="C668" t="s">
        <v>38</v>
      </c>
      <c r="D668" t="s">
        <v>21</v>
      </c>
      <c r="E668">
        <v>182.8</v>
      </c>
      <c r="F668">
        <v>16</v>
      </c>
      <c r="G668" t="s">
        <v>29</v>
      </c>
      <c r="H668">
        <v>3745.69</v>
      </c>
      <c r="I668">
        <v>3883.77</v>
      </c>
      <c r="J668">
        <f>Table2[[#This Row],[Sales_Amount]]-(Table2[[#This Row],[Quantity_Sold]]*Table2[[#This Row],[Unit_Cost]])</f>
        <v>-59748.24</v>
      </c>
    </row>
    <row r="669" spans="1:10" x14ac:dyDescent="0.3">
      <c r="A669">
        <v>1050</v>
      </c>
      <c r="B669" s="1">
        <v>45063</v>
      </c>
      <c r="C669" t="s">
        <v>14</v>
      </c>
      <c r="D669" t="s">
        <v>15</v>
      </c>
      <c r="E669">
        <v>2254.91</v>
      </c>
      <c r="F669">
        <v>45</v>
      </c>
      <c r="G669" t="s">
        <v>16</v>
      </c>
      <c r="H669">
        <v>112.35</v>
      </c>
      <c r="I669">
        <v>586.17999999999995</v>
      </c>
      <c r="J669">
        <f>Table2[[#This Row],[Sales_Amount]]-(Table2[[#This Row],[Quantity_Sold]]*Table2[[#This Row],[Unit_Cost]])</f>
        <v>-2800.84</v>
      </c>
    </row>
    <row r="670" spans="1:10" x14ac:dyDescent="0.3">
      <c r="A670">
        <v>1027</v>
      </c>
      <c r="B670" s="1">
        <v>45121</v>
      </c>
      <c r="C670" t="s">
        <v>14</v>
      </c>
      <c r="D670" t="s">
        <v>25</v>
      </c>
      <c r="E670">
        <v>6650.67</v>
      </c>
      <c r="F670">
        <v>22</v>
      </c>
      <c r="G670" t="s">
        <v>26</v>
      </c>
      <c r="H670">
        <v>3240.2</v>
      </c>
      <c r="I670">
        <v>3606.0899999999901</v>
      </c>
      <c r="J670">
        <f>Table2[[#This Row],[Sales_Amount]]-(Table2[[#This Row],[Quantity_Sold]]*Table2[[#This Row],[Unit_Cost]])</f>
        <v>-64633.729999999996</v>
      </c>
    </row>
    <row r="671" spans="1:10" x14ac:dyDescent="0.3">
      <c r="A671">
        <v>1066</v>
      </c>
      <c r="B671" s="1">
        <v>45152</v>
      </c>
      <c r="C671" t="s">
        <v>42</v>
      </c>
      <c r="D671" t="s">
        <v>25</v>
      </c>
      <c r="E671">
        <v>4891.49</v>
      </c>
      <c r="F671">
        <v>20</v>
      </c>
      <c r="G671" t="s">
        <v>35</v>
      </c>
      <c r="H671">
        <v>955.18</v>
      </c>
      <c r="I671">
        <v>1072.82</v>
      </c>
      <c r="J671">
        <f>Table2[[#This Row],[Sales_Amount]]-(Table2[[#This Row],[Quantity_Sold]]*Table2[[#This Row],[Unit_Cost]])</f>
        <v>-14212.109999999999</v>
      </c>
    </row>
    <row r="672" spans="1:10" x14ac:dyDescent="0.3">
      <c r="A672">
        <v>1005</v>
      </c>
      <c r="B672" s="1">
        <v>45258</v>
      </c>
      <c r="C672" t="s">
        <v>24</v>
      </c>
      <c r="D672" t="s">
        <v>21</v>
      </c>
      <c r="E672">
        <v>152.6</v>
      </c>
      <c r="F672">
        <v>43</v>
      </c>
      <c r="G672" t="s">
        <v>16</v>
      </c>
      <c r="H672">
        <v>1200.4000000000001</v>
      </c>
      <c r="I672">
        <v>1430.45</v>
      </c>
      <c r="J672">
        <f>Table2[[#This Row],[Sales_Amount]]-(Table2[[#This Row],[Quantity_Sold]]*Table2[[#This Row],[Unit_Cost]])</f>
        <v>-51464.600000000006</v>
      </c>
    </row>
    <row r="673" spans="1:10" x14ac:dyDescent="0.3">
      <c r="A673">
        <v>1029</v>
      </c>
      <c r="B673" s="1">
        <v>45096</v>
      </c>
      <c r="C673" t="s">
        <v>38</v>
      </c>
      <c r="D673" t="s">
        <v>25</v>
      </c>
      <c r="E673">
        <v>8064.5</v>
      </c>
      <c r="F673">
        <v>27</v>
      </c>
      <c r="G673" t="s">
        <v>26</v>
      </c>
      <c r="H673">
        <v>3196.38</v>
      </c>
      <c r="I673">
        <v>3596.64</v>
      </c>
      <c r="J673">
        <f>Table2[[#This Row],[Sales_Amount]]-(Table2[[#This Row],[Quantity_Sold]]*Table2[[#This Row],[Unit_Cost]])</f>
        <v>-78237.760000000009</v>
      </c>
    </row>
    <row r="674" spans="1:10" x14ac:dyDescent="0.3">
      <c r="A674">
        <v>1037</v>
      </c>
      <c r="B674" s="1">
        <v>44935</v>
      </c>
      <c r="C674" t="s">
        <v>33</v>
      </c>
      <c r="D674" t="s">
        <v>15</v>
      </c>
      <c r="E674">
        <v>7750.81</v>
      </c>
      <c r="F674">
        <v>41</v>
      </c>
      <c r="G674" t="s">
        <v>29</v>
      </c>
      <c r="H674">
        <v>4965.07</v>
      </c>
      <c r="I674">
        <v>5243.13</v>
      </c>
      <c r="J674">
        <f>Table2[[#This Row],[Sales_Amount]]-(Table2[[#This Row],[Quantity_Sold]]*Table2[[#This Row],[Unit_Cost]])</f>
        <v>-195817.06</v>
      </c>
    </row>
    <row r="675" spans="1:10" x14ac:dyDescent="0.3">
      <c r="A675">
        <v>1038</v>
      </c>
      <c r="B675" s="1">
        <v>44966</v>
      </c>
      <c r="C675" t="s">
        <v>42</v>
      </c>
      <c r="D675" t="s">
        <v>34</v>
      </c>
      <c r="E675">
        <v>5529.35</v>
      </c>
      <c r="F675">
        <v>16</v>
      </c>
      <c r="G675" t="s">
        <v>16</v>
      </c>
      <c r="H675">
        <v>3899.7</v>
      </c>
      <c r="I675">
        <v>4228.18</v>
      </c>
      <c r="J675">
        <f>Table2[[#This Row],[Sales_Amount]]-(Table2[[#This Row],[Quantity_Sold]]*Table2[[#This Row],[Unit_Cost]])</f>
        <v>-56865.85</v>
      </c>
    </row>
    <row r="676" spans="1:10" x14ac:dyDescent="0.3">
      <c r="A676">
        <v>1083</v>
      </c>
      <c r="B676" s="1">
        <v>44951</v>
      </c>
      <c r="C676" t="s">
        <v>24</v>
      </c>
      <c r="D676" t="s">
        <v>34</v>
      </c>
      <c r="E676">
        <v>757.99</v>
      </c>
      <c r="F676">
        <v>34</v>
      </c>
      <c r="G676" t="s">
        <v>29</v>
      </c>
      <c r="H676">
        <v>1167.9100000000001</v>
      </c>
      <c r="I676">
        <v>1547.26</v>
      </c>
      <c r="J676">
        <f>Table2[[#This Row],[Sales_Amount]]-(Table2[[#This Row],[Quantity_Sold]]*Table2[[#This Row],[Unit_Cost]])</f>
        <v>-38950.950000000004</v>
      </c>
    </row>
    <row r="677" spans="1:10" x14ac:dyDescent="0.3">
      <c r="A677">
        <v>1008</v>
      </c>
      <c r="B677" s="1">
        <v>45187</v>
      </c>
      <c r="C677" t="s">
        <v>33</v>
      </c>
      <c r="D677" t="s">
        <v>25</v>
      </c>
      <c r="E677">
        <v>7688.5</v>
      </c>
      <c r="F677">
        <v>32</v>
      </c>
      <c r="G677" t="s">
        <v>26</v>
      </c>
      <c r="H677">
        <v>921.32</v>
      </c>
      <c r="I677">
        <v>1236.0999999999999</v>
      </c>
      <c r="J677">
        <f>Table2[[#This Row],[Sales_Amount]]-(Table2[[#This Row],[Quantity_Sold]]*Table2[[#This Row],[Unit_Cost]])</f>
        <v>-21793.74</v>
      </c>
    </row>
    <row r="678" spans="1:10" x14ac:dyDescent="0.3">
      <c r="A678">
        <v>1065</v>
      </c>
      <c r="B678" s="1">
        <v>45152</v>
      </c>
      <c r="C678" t="s">
        <v>14</v>
      </c>
      <c r="D678" t="s">
        <v>21</v>
      </c>
      <c r="E678">
        <v>5878.76</v>
      </c>
      <c r="F678">
        <v>26</v>
      </c>
      <c r="G678" t="s">
        <v>29</v>
      </c>
      <c r="H678">
        <v>4337.8500000000004</v>
      </c>
      <c r="I678">
        <v>4612.49</v>
      </c>
      <c r="J678">
        <f>Table2[[#This Row],[Sales_Amount]]-(Table2[[#This Row],[Quantity_Sold]]*Table2[[#This Row],[Unit_Cost]])</f>
        <v>-106905.34000000001</v>
      </c>
    </row>
    <row r="679" spans="1:10" x14ac:dyDescent="0.3">
      <c r="A679">
        <v>1086</v>
      </c>
      <c r="B679" s="1">
        <v>45050</v>
      </c>
      <c r="C679" t="s">
        <v>14</v>
      </c>
      <c r="D679" t="s">
        <v>21</v>
      </c>
      <c r="E679">
        <v>7841.4</v>
      </c>
      <c r="F679">
        <v>25</v>
      </c>
      <c r="G679" t="s">
        <v>26</v>
      </c>
      <c r="H679">
        <v>2248.71</v>
      </c>
      <c r="I679">
        <v>2626.02</v>
      </c>
      <c r="J679">
        <f>Table2[[#This Row],[Sales_Amount]]-(Table2[[#This Row],[Quantity_Sold]]*Table2[[#This Row],[Unit_Cost]])</f>
        <v>-48376.35</v>
      </c>
    </row>
    <row r="680" spans="1:10" x14ac:dyDescent="0.3">
      <c r="A680">
        <v>1017</v>
      </c>
      <c r="B680" s="1">
        <v>44964</v>
      </c>
      <c r="C680" t="s">
        <v>33</v>
      </c>
      <c r="D680" t="s">
        <v>21</v>
      </c>
      <c r="E680">
        <v>7542.3</v>
      </c>
      <c r="F680">
        <v>2</v>
      </c>
      <c r="G680" t="s">
        <v>26</v>
      </c>
      <c r="H680">
        <v>728.41</v>
      </c>
      <c r="I680">
        <v>1094.92</v>
      </c>
      <c r="J680">
        <f>Table2[[#This Row],[Sales_Amount]]-(Table2[[#This Row],[Quantity_Sold]]*Table2[[#This Row],[Unit_Cost]])</f>
        <v>6085.4800000000005</v>
      </c>
    </row>
    <row r="681" spans="1:10" x14ac:dyDescent="0.3">
      <c r="A681">
        <v>1071</v>
      </c>
      <c r="B681" s="1">
        <v>45254</v>
      </c>
      <c r="C681" t="s">
        <v>42</v>
      </c>
      <c r="D681" t="s">
        <v>21</v>
      </c>
      <c r="E681">
        <v>8049.72</v>
      </c>
      <c r="F681">
        <v>12</v>
      </c>
      <c r="G681" t="s">
        <v>26</v>
      </c>
      <c r="H681">
        <v>4317.95</v>
      </c>
      <c r="I681">
        <v>4636.59</v>
      </c>
      <c r="J681">
        <f>Table2[[#This Row],[Sales_Amount]]-(Table2[[#This Row],[Quantity_Sold]]*Table2[[#This Row],[Unit_Cost]])</f>
        <v>-43765.679999999993</v>
      </c>
    </row>
    <row r="682" spans="1:10" x14ac:dyDescent="0.3">
      <c r="A682">
        <v>1089</v>
      </c>
      <c r="B682" s="1">
        <v>45177</v>
      </c>
      <c r="C682" t="s">
        <v>14</v>
      </c>
      <c r="D682" t="s">
        <v>21</v>
      </c>
      <c r="E682">
        <v>5228.28</v>
      </c>
      <c r="F682">
        <v>40</v>
      </c>
      <c r="G682" t="s">
        <v>16</v>
      </c>
      <c r="H682">
        <v>4089.66</v>
      </c>
      <c r="I682">
        <v>4275.96</v>
      </c>
      <c r="J682">
        <f>Table2[[#This Row],[Sales_Amount]]-(Table2[[#This Row],[Quantity_Sold]]*Table2[[#This Row],[Unit_Cost]])</f>
        <v>-158358.12</v>
      </c>
    </row>
    <row r="683" spans="1:10" x14ac:dyDescent="0.3">
      <c r="A683">
        <v>1045</v>
      </c>
      <c r="B683" s="1">
        <v>45102</v>
      </c>
      <c r="C683" t="s">
        <v>38</v>
      </c>
      <c r="D683" t="s">
        <v>25</v>
      </c>
      <c r="E683">
        <v>1489.21</v>
      </c>
      <c r="F683">
        <v>9</v>
      </c>
      <c r="G683" t="s">
        <v>29</v>
      </c>
      <c r="H683">
        <v>4920.34</v>
      </c>
      <c r="I683">
        <v>5129.1899999999996</v>
      </c>
      <c r="J683">
        <f>Table2[[#This Row],[Sales_Amount]]-(Table2[[#This Row],[Quantity_Sold]]*Table2[[#This Row],[Unit_Cost]])</f>
        <v>-42793.85</v>
      </c>
    </row>
    <row r="684" spans="1:10" x14ac:dyDescent="0.3">
      <c r="A684">
        <v>1004</v>
      </c>
      <c r="B684" s="1">
        <v>45016</v>
      </c>
      <c r="C684" t="s">
        <v>33</v>
      </c>
      <c r="D684" t="s">
        <v>34</v>
      </c>
      <c r="E684">
        <v>6744.46</v>
      </c>
      <c r="F684">
        <v>12</v>
      </c>
      <c r="G684" t="s">
        <v>29</v>
      </c>
      <c r="H684">
        <v>4553.2299999999996</v>
      </c>
      <c r="I684">
        <v>5038.74</v>
      </c>
      <c r="J684">
        <f>Table2[[#This Row],[Sales_Amount]]-(Table2[[#This Row],[Quantity_Sold]]*Table2[[#This Row],[Unit_Cost]])</f>
        <v>-47894.299999999996</v>
      </c>
    </row>
    <row r="685" spans="1:10" x14ac:dyDescent="0.3">
      <c r="A685">
        <v>1036</v>
      </c>
      <c r="B685" s="1">
        <v>44963</v>
      </c>
      <c r="C685" t="s">
        <v>33</v>
      </c>
      <c r="D685" t="s">
        <v>34</v>
      </c>
      <c r="E685">
        <v>6242.69</v>
      </c>
      <c r="F685">
        <v>26</v>
      </c>
      <c r="G685" t="s">
        <v>35</v>
      </c>
      <c r="H685">
        <v>4266.3599999999997</v>
      </c>
      <c r="I685">
        <v>4331.4299999999903</v>
      </c>
      <c r="J685">
        <f>Table2[[#This Row],[Sales_Amount]]-(Table2[[#This Row],[Quantity_Sold]]*Table2[[#This Row],[Unit_Cost]])</f>
        <v>-104682.66999999998</v>
      </c>
    </row>
    <row r="686" spans="1:10" x14ac:dyDescent="0.3">
      <c r="A686">
        <v>1070</v>
      </c>
      <c r="B686" s="1">
        <v>45242</v>
      </c>
      <c r="C686" t="s">
        <v>14</v>
      </c>
      <c r="D686" t="s">
        <v>25</v>
      </c>
      <c r="E686">
        <v>7448.31</v>
      </c>
      <c r="F686">
        <v>9</v>
      </c>
      <c r="G686" t="s">
        <v>35</v>
      </c>
      <c r="H686">
        <v>310.24</v>
      </c>
      <c r="I686">
        <v>451.81</v>
      </c>
      <c r="J686">
        <f>Table2[[#This Row],[Sales_Amount]]-(Table2[[#This Row],[Quantity_Sold]]*Table2[[#This Row],[Unit_Cost]])</f>
        <v>4656.1500000000005</v>
      </c>
    </row>
    <row r="687" spans="1:10" x14ac:dyDescent="0.3">
      <c r="A687">
        <v>1031</v>
      </c>
      <c r="B687" s="1">
        <v>45102</v>
      </c>
      <c r="C687" t="s">
        <v>42</v>
      </c>
      <c r="D687" t="s">
        <v>21</v>
      </c>
      <c r="E687">
        <v>1781.82</v>
      </c>
      <c r="F687">
        <v>10</v>
      </c>
      <c r="G687" t="s">
        <v>35</v>
      </c>
      <c r="H687">
        <v>566.86</v>
      </c>
      <c r="I687">
        <v>818.14</v>
      </c>
      <c r="J687">
        <f>Table2[[#This Row],[Sales_Amount]]-(Table2[[#This Row],[Quantity_Sold]]*Table2[[#This Row],[Unit_Cost]])</f>
        <v>-3886.7800000000007</v>
      </c>
    </row>
    <row r="688" spans="1:10" x14ac:dyDescent="0.3">
      <c r="A688">
        <v>1019</v>
      </c>
      <c r="B688" s="1">
        <v>45210</v>
      </c>
      <c r="C688" t="s">
        <v>38</v>
      </c>
      <c r="D688" t="s">
        <v>25</v>
      </c>
      <c r="E688">
        <v>2030.25</v>
      </c>
      <c r="F688">
        <v>32</v>
      </c>
      <c r="G688" t="s">
        <v>35</v>
      </c>
      <c r="H688">
        <v>2866.47</v>
      </c>
      <c r="I688">
        <v>3286.47</v>
      </c>
      <c r="J688">
        <f>Table2[[#This Row],[Sales_Amount]]-(Table2[[#This Row],[Quantity_Sold]]*Table2[[#This Row],[Unit_Cost]])</f>
        <v>-89696.79</v>
      </c>
    </row>
    <row r="689" spans="1:10" x14ac:dyDescent="0.3">
      <c r="A689">
        <v>1061</v>
      </c>
      <c r="B689" s="1">
        <v>45007</v>
      </c>
      <c r="C689" t="s">
        <v>42</v>
      </c>
      <c r="D689" t="s">
        <v>34</v>
      </c>
      <c r="E689">
        <v>8915.0499999999993</v>
      </c>
      <c r="F689">
        <v>34</v>
      </c>
      <c r="G689" t="s">
        <v>29</v>
      </c>
      <c r="H689">
        <v>2680.82</v>
      </c>
      <c r="I689">
        <v>2771.02</v>
      </c>
      <c r="J689">
        <f>Table2[[#This Row],[Sales_Amount]]-(Table2[[#This Row],[Quantity_Sold]]*Table2[[#This Row],[Unit_Cost]])</f>
        <v>-82232.83</v>
      </c>
    </row>
    <row r="690" spans="1:10" x14ac:dyDescent="0.3">
      <c r="A690">
        <v>1054</v>
      </c>
      <c r="B690" s="1">
        <v>45040</v>
      </c>
      <c r="C690" t="s">
        <v>24</v>
      </c>
      <c r="D690" t="s">
        <v>15</v>
      </c>
      <c r="E690">
        <v>7524.78</v>
      </c>
      <c r="F690">
        <v>48</v>
      </c>
      <c r="G690" t="s">
        <v>26</v>
      </c>
      <c r="H690">
        <v>2316.92</v>
      </c>
      <c r="I690">
        <v>2462.63</v>
      </c>
      <c r="J690">
        <f>Table2[[#This Row],[Sales_Amount]]-(Table2[[#This Row],[Quantity_Sold]]*Table2[[#This Row],[Unit_Cost]])</f>
        <v>-103687.38</v>
      </c>
    </row>
    <row r="691" spans="1:10" x14ac:dyDescent="0.3">
      <c r="A691">
        <v>1039</v>
      </c>
      <c r="B691" s="1">
        <v>44966</v>
      </c>
      <c r="C691" t="s">
        <v>24</v>
      </c>
      <c r="D691" t="s">
        <v>25</v>
      </c>
      <c r="E691">
        <v>9091.4599999999991</v>
      </c>
      <c r="F691">
        <v>20</v>
      </c>
      <c r="G691" t="s">
        <v>26</v>
      </c>
      <c r="H691">
        <v>2014.11</v>
      </c>
      <c r="I691">
        <v>2056.35</v>
      </c>
      <c r="J691">
        <f>Table2[[#This Row],[Sales_Amount]]-(Table2[[#This Row],[Quantity_Sold]]*Table2[[#This Row],[Unit_Cost]])</f>
        <v>-31190.739999999998</v>
      </c>
    </row>
    <row r="692" spans="1:10" x14ac:dyDescent="0.3">
      <c r="A692">
        <v>1091</v>
      </c>
      <c r="B692" s="1">
        <v>45227</v>
      </c>
      <c r="C692" t="s">
        <v>14</v>
      </c>
      <c r="D692" t="s">
        <v>21</v>
      </c>
      <c r="E692">
        <v>7611.28</v>
      </c>
      <c r="F692">
        <v>39</v>
      </c>
      <c r="G692" t="s">
        <v>16</v>
      </c>
      <c r="H692">
        <v>2184.4899999999998</v>
      </c>
      <c r="I692">
        <v>2540.4199999999901</v>
      </c>
      <c r="J692">
        <f>Table2[[#This Row],[Sales_Amount]]-(Table2[[#This Row],[Quantity_Sold]]*Table2[[#This Row],[Unit_Cost]])</f>
        <v>-77583.829999999987</v>
      </c>
    </row>
    <row r="693" spans="1:10" x14ac:dyDescent="0.3">
      <c r="A693">
        <v>1074</v>
      </c>
      <c r="B693" s="1">
        <v>45150</v>
      </c>
      <c r="C693" t="s">
        <v>14</v>
      </c>
      <c r="D693" t="s">
        <v>34</v>
      </c>
      <c r="E693">
        <v>6011.84</v>
      </c>
      <c r="F693">
        <v>2</v>
      </c>
      <c r="G693" t="s">
        <v>26</v>
      </c>
      <c r="H693">
        <v>2868.02</v>
      </c>
      <c r="I693">
        <v>2994.74</v>
      </c>
      <c r="J693">
        <f>Table2[[#This Row],[Sales_Amount]]-(Table2[[#This Row],[Quantity_Sold]]*Table2[[#This Row],[Unit_Cost]])</f>
        <v>275.80000000000018</v>
      </c>
    </row>
    <row r="694" spans="1:10" x14ac:dyDescent="0.3">
      <c r="A694">
        <v>1090</v>
      </c>
      <c r="B694" s="1">
        <v>45244</v>
      </c>
      <c r="C694" t="s">
        <v>14</v>
      </c>
      <c r="D694" t="s">
        <v>34</v>
      </c>
      <c r="E694">
        <v>6575.91</v>
      </c>
      <c r="F694">
        <v>1</v>
      </c>
      <c r="G694" t="s">
        <v>29</v>
      </c>
      <c r="H694">
        <v>60.28</v>
      </c>
      <c r="I694">
        <v>260.73</v>
      </c>
      <c r="J694">
        <f>Table2[[#This Row],[Sales_Amount]]-(Table2[[#This Row],[Quantity_Sold]]*Table2[[#This Row],[Unit_Cost]])</f>
        <v>6515.63</v>
      </c>
    </row>
    <row r="695" spans="1:10" x14ac:dyDescent="0.3">
      <c r="A695">
        <v>1019</v>
      </c>
      <c r="B695" s="1">
        <v>45275</v>
      </c>
      <c r="C695" t="s">
        <v>24</v>
      </c>
      <c r="D695" t="s">
        <v>34</v>
      </c>
      <c r="E695">
        <v>8902.3700000000008</v>
      </c>
      <c r="F695">
        <v>36</v>
      </c>
      <c r="G695" t="s">
        <v>29</v>
      </c>
      <c r="H695">
        <v>1340.51</v>
      </c>
      <c r="I695">
        <v>1567.92</v>
      </c>
      <c r="J695">
        <f>Table2[[#This Row],[Sales_Amount]]-(Table2[[#This Row],[Quantity_Sold]]*Table2[[#This Row],[Unit_Cost]])</f>
        <v>-39355.99</v>
      </c>
    </row>
    <row r="696" spans="1:10" x14ac:dyDescent="0.3">
      <c r="A696">
        <v>1039</v>
      </c>
      <c r="B696" s="1">
        <v>45041</v>
      </c>
      <c r="C696" t="s">
        <v>42</v>
      </c>
      <c r="D696" t="s">
        <v>34</v>
      </c>
      <c r="E696">
        <v>5830.19</v>
      </c>
      <c r="F696">
        <v>24</v>
      </c>
      <c r="G696" t="s">
        <v>29</v>
      </c>
      <c r="H696">
        <v>2615.48</v>
      </c>
      <c r="I696">
        <v>3062.22</v>
      </c>
      <c r="J696">
        <f>Table2[[#This Row],[Sales_Amount]]-(Table2[[#This Row],[Quantity_Sold]]*Table2[[#This Row],[Unit_Cost]])</f>
        <v>-56941.33</v>
      </c>
    </row>
    <row r="697" spans="1:10" x14ac:dyDescent="0.3">
      <c r="A697">
        <v>1067</v>
      </c>
      <c r="B697" s="1">
        <v>45112</v>
      </c>
      <c r="C697" t="s">
        <v>42</v>
      </c>
      <c r="D697" t="s">
        <v>21</v>
      </c>
      <c r="E697">
        <v>6360.67</v>
      </c>
      <c r="F697">
        <v>27</v>
      </c>
      <c r="G697" t="s">
        <v>16</v>
      </c>
      <c r="H697">
        <v>3624.97</v>
      </c>
      <c r="I697">
        <v>3836.52</v>
      </c>
      <c r="J697">
        <f>Table2[[#This Row],[Sales_Amount]]-(Table2[[#This Row],[Quantity_Sold]]*Table2[[#This Row],[Unit_Cost]])</f>
        <v>-91513.51999999999</v>
      </c>
    </row>
    <row r="698" spans="1:10" x14ac:dyDescent="0.3">
      <c r="A698">
        <v>1045</v>
      </c>
      <c r="B698" s="1">
        <v>45249</v>
      </c>
      <c r="C698" t="s">
        <v>14</v>
      </c>
      <c r="D698" t="s">
        <v>15</v>
      </c>
      <c r="E698">
        <v>1649.12</v>
      </c>
      <c r="F698">
        <v>2</v>
      </c>
      <c r="G698" t="s">
        <v>35</v>
      </c>
      <c r="H698">
        <v>912.08</v>
      </c>
      <c r="I698">
        <v>993.24</v>
      </c>
      <c r="J698">
        <f>Table2[[#This Row],[Sales_Amount]]-(Table2[[#This Row],[Quantity_Sold]]*Table2[[#This Row],[Unit_Cost]])</f>
        <v>-175.04000000000019</v>
      </c>
    </row>
    <row r="699" spans="1:10" x14ac:dyDescent="0.3">
      <c r="A699">
        <v>1013</v>
      </c>
      <c r="B699" s="1">
        <v>44982</v>
      </c>
      <c r="C699" t="s">
        <v>38</v>
      </c>
      <c r="D699" t="s">
        <v>34</v>
      </c>
      <c r="E699">
        <v>4791.82</v>
      </c>
      <c r="F699">
        <v>31</v>
      </c>
      <c r="G699" t="s">
        <v>26</v>
      </c>
      <c r="H699">
        <v>2757.06</v>
      </c>
      <c r="I699">
        <v>3023.97</v>
      </c>
      <c r="J699">
        <f>Table2[[#This Row],[Sales_Amount]]-(Table2[[#This Row],[Quantity_Sold]]*Table2[[#This Row],[Unit_Cost]])</f>
        <v>-80677.040000000008</v>
      </c>
    </row>
    <row r="700" spans="1:10" x14ac:dyDescent="0.3">
      <c r="A700">
        <v>1092</v>
      </c>
      <c r="B700" s="1">
        <v>44966</v>
      </c>
      <c r="C700" t="s">
        <v>42</v>
      </c>
      <c r="D700" t="s">
        <v>25</v>
      </c>
      <c r="E700">
        <v>7192.33</v>
      </c>
      <c r="F700">
        <v>14</v>
      </c>
      <c r="G700" t="s">
        <v>29</v>
      </c>
      <c r="H700">
        <v>3586.58</v>
      </c>
      <c r="I700">
        <v>4068.43</v>
      </c>
      <c r="J700">
        <f>Table2[[#This Row],[Sales_Amount]]-(Table2[[#This Row],[Quantity_Sold]]*Table2[[#This Row],[Unit_Cost]])</f>
        <v>-43019.789999999994</v>
      </c>
    </row>
    <row r="701" spans="1:10" x14ac:dyDescent="0.3">
      <c r="A701">
        <v>1058</v>
      </c>
      <c r="B701" s="1">
        <v>45280</v>
      </c>
      <c r="C701" t="s">
        <v>24</v>
      </c>
      <c r="D701" t="s">
        <v>15</v>
      </c>
      <c r="E701">
        <v>2782.33</v>
      </c>
      <c r="F701">
        <v>2</v>
      </c>
      <c r="G701" t="s">
        <v>29</v>
      </c>
      <c r="H701">
        <v>2250.91</v>
      </c>
      <c r="I701">
        <v>2558.6799999999998</v>
      </c>
      <c r="J701">
        <f>Table2[[#This Row],[Sales_Amount]]-(Table2[[#This Row],[Quantity_Sold]]*Table2[[#This Row],[Unit_Cost]])</f>
        <v>-1719.4899999999998</v>
      </c>
    </row>
    <row r="702" spans="1:10" x14ac:dyDescent="0.3">
      <c r="A702">
        <v>1020</v>
      </c>
      <c r="B702" s="1">
        <v>44966</v>
      </c>
      <c r="C702" t="s">
        <v>33</v>
      </c>
      <c r="D702" t="s">
        <v>34</v>
      </c>
      <c r="E702">
        <v>2102.3200000000002</v>
      </c>
      <c r="F702">
        <v>29</v>
      </c>
      <c r="G702" t="s">
        <v>35</v>
      </c>
      <c r="H702">
        <v>184.05</v>
      </c>
      <c r="I702">
        <v>675.91</v>
      </c>
      <c r="J702">
        <f>Table2[[#This Row],[Sales_Amount]]-(Table2[[#This Row],[Quantity_Sold]]*Table2[[#This Row],[Unit_Cost]])</f>
        <v>-3235.1300000000006</v>
      </c>
    </row>
    <row r="703" spans="1:10" x14ac:dyDescent="0.3">
      <c r="A703">
        <v>1092</v>
      </c>
      <c r="B703" s="1">
        <v>45273</v>
      </c>
      <c r="C703" t="s">
        <v>33</v>
      </c>
      <c r="D703" t="s">
        <v>15</v>
      </c>
      <c r="E703">
        <v>3206.89</v>
      </c>
      <c r="F703">
        <v>15</v>
      </c>
      <c r="G703" t="s">
        <v>29</v>
      </c>
      <c r="H703">
        <v>2273.88</v>
      </c>
      <c r="I703">
        <v>2696.02</v>
      </c>
      <c r="J703">
        <f>Table2[[#This Row],[Sales_Amount]]-(Table2[[#This Row],[Quantity_Sold]]*Table2[[#This Row],[Unit_Cost]])</f>
        <v>-30901.310000000005</v>
      </c>
    </row>
    <row r="704" spans="1:10" x14ac:dyDescent="0.3">
      <c r="A704">
        <v>1072</v>
      </c>
      <c r="B704" s="1">
        <v>45163</v>
      </c>
      <c r="C704" t="s">
        <v>33</v>
      </c>
      <c r="D704" t="s">
        <v>25</v>
      </c>
      <c r="E704">
        <v>2490.86</v>
      </c>
      <c r="F704">
        <v>12</v>
      </c>
      <c r="G704" t="s">
        <v>26</v>
      </c>
      <c r="H704">
        <v>1517.4</v>
      </c>
      <c r="I704">
        <v>1545.02</v>
      </c>
      <c r="J704">
        <f>Table2[[#This Row],[Sales_Amount]]-(Table2[[#This Row],[Quantity_Sold]]*Table2[[#This Row],[Unit_Cost]])</f>
        <v>-15717.940000000002</v>
      </c>
    </row>
    <row r="705" spans="1:10" x14ac:dyDescent="0.3">
      <c r="A705">
        <v>1061</v>
      </c>
      <c r="B705" s="1">
        <v>45215</v>
      </c>
      <c r="C705" t="s">
        <v>38</v>
      </c>
      <c r="D705" t="s">
        <v>34</v>
      </c>
      <c r="E705">
        <v>2227.64</v>
      </c>
      <c r="F705">
        <v>37</v>
      </c>
      <c r="G705" t="s">
        <v>16</v>
      </c>
      <c r="H705">
        <v>4651.7700000000004</v>
      </c>
      <c r="I705">
        <v>4984.3900000000003</v>
      </c>
      <c r="J705">
        <f>Table2[[#This Row],[Sales_Amount]]-(Table2[[#This Row],[Quantity_Sold]]*Table2[[#This Row],[Unit_Cost]])</f>
        <v>-169887.85</v>
      </c>
    </row>
    <row r="706" spans="1:10" x14ac:dyDescent="0.3">
      <c r="A706">
        <v>1039</v>
      </c>
      <c r="B706" s="1">
        <v>45188</v>
      </c>
      <c r="C706" t="s">
        <v>14</v>
      </c>
      <c r="D706" t="s">
        <v>25</v>
      </c>
      <c r="E706">
        <v>4306.0200000000004</v>
      </c>
      <c r="F706">
        <v>28</v>
      </c>
      <c r="G706" t="s">
        <v>29</v>
      </c>
      <c r="H706">
        <v>666.84</v>
      </c>
      <c r="I706">
        <v>817.36</v>
      </c>
      <c r="J706">
        <f>Table2[[#This Row],[Sales_Amount]]-(Table2[[#This Row],[Quantity_Sold]]*Table2[[#This Row],[Unit_Cost]])</f>
        <v>-14365.5</v>
      </c>
    </row>
    <row r="707" spans="1:10" x14ac:dyDescent="0.3">
      <c r="A707">
        <v>1001</v>
      </c>
      <c r="B707" s="1">
        <v>45142</v>
      </c>
      <c r="C707" t="s">
        <v>24</v>
      </c>
      <c r="D707" t="s">
        <v>21</v>
      </c>
      <c r="E707">
        <v>9087.6</v>
      </c>
      <c r="F707">
        <v>20</v>
      </c>
      <c r="G707" t="s">
        <v>26</v>
      </c>
      <c r="H707">
        <v>3279.76</v>
      </c>
      <c r="I707">
        <v>3563.97</v>
      </c>
      <c r="J707">
        <f>Table2[[#This Row],[Sales_Amount]]-(Table2[[#This Row],[Quantity_Sold]]*Table2[[#This Row],[Unit_Cost]])</f>
        <v>-56507.600000000013</v>
      </c>
    </row>
    <row r="708" spans="1:10" x14ac:dyDescent="0.3">
      <c r="A708">
        <v>1003</v>
      </c>
      <c r="B708" s="1">
        <v>45073</v>
      </c>
      <c r="C708" t="s">
        <v>38</v>
      </c>
      <c r="D708" t="s">
        <v>34</v>
      </c>
      <c r="E708">
        <v>5119.8900000000003</v>
      </c>
      <c r="F708">
        <v>39</v>
      </c>
      <c r="G708" t="s">
        <v>29</v>
      </c>
      <c r="H708">
        <v>310.95999999999998</v>
      </c>
      <c r="I708">
        <v>457.84</v>
      </c>
      <c r="J708">
        <f>Table2[[#This Row],[Sales_Amount]]-(Table2[[#This Row],[Quantity_Sold]]*Table2[[#This Row],[Unit_Cost]])</f>
        <v>-7007.5499999999984</v>
      </c>
    </row>
    <row r="709" spans="1:10" x14ac:dyDescent="0.3">
      <c r="A709">
        <v>1077</v>
      </c>
      <c r="B709" s="1">
        <v>45262</v>
      </c>
      <c r="C709" t="s">
        <v>24</v>
      </c>
      <c r="D709" t="s">
        <v>34</v>
      </c>
      <c r="E709">
        <v>1960.41</v>
      </c>
      <c r="F709">
        <v>24</v>
      </c>
      <c r="G709" t="s">
        <v>35</v>
      </c>
      <c r="H709">
        <v>2258.54</v>
      </c>
      <c r="I709">
        <v>2439.4899999999998</v>
      </c>
      <c r="J709">
        <f>Table2[[#This Row],[Sales_Amount]]-(Table2[[#This Row],[Quantity_Sold]]*Table2[[#This Row],[Unit_Cost]])</f>
        <v>-52244.549999999996</v>
      </c>
    </row>
    <row r="710" spans="1:10" x14ac:dyDescent="0.3">
      <c r="A710">
        <v>1092</v>
      </c>
      <c r="B710" s="1">
        <v>45094</v>
      </c>
      <c r="C710" t="s">
        <v>24</v>
      </c>
      <c r="D710" t="s">
        <v>34</v>
      </c>
      <c r="E710">
        <v>862.02</v>
      </c>
      <c r="F710">
        <v>21</v>
      </c>
      <c r="G710" t="s">
        <v>29</v>
      </c>
      <c r="H710">
        <v>2792.2</v>
      </c>
      <c r="I710">
        <v>3254.5499999999902</v>
      </c>
      <c r="J710">
        <f>Table2[[#This Row],[Sales_Amount]]-(Table2[[#This Row],[Quantity_Sold]]*Table2[[#This Row],[Unit_Cost]])</f>
        <v>-57774.18</v>
      </c>
    </row>
    <row r="711" spans="1:10" x14ac:dyDescent="0.3">
      <c r="A711">
        <v>1062</v>
      </c>
      <c r="B711" s="1">
        <v>45018</v>
      </c>
      <c r="C711" t="s">
        <v>14</v>
      </c>
      <c r="D711" t="s">
        <v>34</v>
      </c>
      <c r="E711">
        <v>6991.95</v>
      </c>
      <c r="F711">
        <v>10</v>
      </c>
      <c r="G711" t="s">
        <v>29</v>
      </c>
      <c r="H711">
        <v>1524.88</v>
      </c>
      <c r="I711">
        <v>1636.14</v>
      </c>
      <c r="J711">
        <f>Table2[[#This Row],[Sales_Amount]]-(Table2[[#This Row],[Quantity_Sold]]*Table2[[#This Row],[Unit_Cost]])</f>
        <v>-8256.8500000000022</v>
      </c>
    </row>
    <row r="712" spans="1:10" x14ac:dyDescent="0.3">
      <c r="A712">
        <v>1063</v>
      </c>
      <c r="B712" s="1">
        <v>45279</v>
      </c>
      <c r="C712" t="s">
        <v>33</v>
      </c>
      <c r="D712" t="s">
        <v>21</v>
      </c>
      <c r="E712">
        <v>3889.71</v>
      </c>
      <c r="F712">
        <v>46</v>
      </c>
      <c r="G712" t="s">
        <v>16</v>
      </c>
      <c r="H712">
        <v>2302.62</v>
      </c>
      <c r="I712">
        <v>2740.93</v>
      </c>
      <c r="J712">
        <f>Table2[[#This Row],[Sales_Amount]]-(Table2[[#This Row],[Quantity_Sold]]*Table2[[#This Row],[Unit_Cost]])</f>
        <v>-102030.80999999998</v>
      </c>
    </row>
    <row r="713" spans="1:10" x14ac:dyDescent="0.3">
      <c r="A713">
        <v>1025</v>
      </c>
      <c r="B713" s="1">
        <v>44985</v>
      </c>
      <c r="C713" t="s">
        <v>14</v>
      </c>
      <c r="D713" t="s">
        <v>34</v>
      </c>
      <c r="E713">
        <v>8236.1299999999992</v>
      </c>
      <c r="F713">
        <v>14</v>
      </c>
      <c r="G713" t="s">
        <v>35</v>
      </c>
      <c r="H713">
        <v>859.59</v>
      </c>
      <c r="I713">
        <v>884.51</v>
      </c>
      <c r="J713">
        <f>Table2[[#This Row],[Sales_Amount]]-(Table2[[#This Row],[Quantity_Sold]]*Table2[[#This Row],[Unit_Cost]])</f>
        <v>-3798.130000000001</v>
      </c>
    </row>
    <row r="714" spans="1:10" x14ac:dyDescent="0.3">
      <c r="A714">
        <v>1056</v>
      </c>
      <c r="B714" s="1">
        <v>44985</v>
      </c>
      <c r="C714" t="s">
        <v>38</v>
      </c>
      <c r="D714" t="s">
        <v>15</v>
      </c>
      <c r="E714">
        <v>6629.16</v>
      </c>
      <c r="F714">
        <v>37</v>
      </c>
      <c r="G714" t="s">
        <v>35</v>
      </c>
      <c r="H714">
        <v>1555.41</v>
      </c>
      <c r="I714">
        <v>1609.94</v>
      </c>
      <c r="J714">
        <f>Table2[[#This Row],[Sales_Amount]]-(Table2[[#This Row],[Quantity_Sold]]*Table2[[#This Row],[Unit_Cost]])</f>
        <v>-50921.010000000009</v>
      </c>
    </row>
    <row r="715" spans="1:10" x14ac:dyDescent="0.3">
      <c r="A715">
        <v>1033</v>
      </c>
      <c r="B715" s="1">
        <v>45230</v>
      </c>
      <c r="C715" t="s">
        <v>38</v>
      </c>
      <c r="D715" t="s">
        <v>34</v>
      </c>
      <c r="E715">
        <v>7982.79</v>
      </c>
      <c r="F715">
        <v>18</v>
      </c>
      <c r="G715" t="s">
        <v>16</v>
      </c>
      <c r="H715">
        <v>3124.48</v>
      </c>
      <c r="I715">
        <v>3553.27</v>
      </c>
      <c r="J715">
        <f>Table2[[#This Row],[Sales_Amount]]-(Table2[[#This Row],[Quantity_Sold]]*Table2[[#This Row],[Unit_Cost]])</f>
        <v>-48257.85</v>
      </c>
    </row>
    <row r="716" spans="1:10" x14ac:dyDescent="0.3">
      <c r="A716">
        <v>1038</v>
      </c>
      <c r="B716" s="1">
        <v>45095</v>
      </c>
      <c r="C716" t="s">
        <v>38</v>
      </c>
      <c r="D716" t="s">
        <v>21</v>
      </c>
      <c r="E716">
        <v>2792.27</v>
      </c>
      <c r="F716">
        <v>24</v>
      </c>
      <c r="G716" t="s">
        <v>29</v>
      </c>
      <c r="H716">
        <v>1543.91</v>
      </c>
      <c r="I716">
        <v>1862.88</v>
      </c>
      <c r="J716">
        <f>Table2[[#This Row],[Sales_Amount]]-(Table2[[#This Row],[Quantity_Sold]]*Table2[[#This Row],[Unit_Cost]])</f>
        <v>-34261.570000000007</v>
      </c>
    </row>
    <row r="717" spans="1:10" x14ac:dyDescent="0.3">
      <c r="A717">
        <v>1006</v>
      </c>
      <c r="B717" s="1">
        <v>45195</v>
      </c>
      <c r="C717" t="s">
        <v>14</v>
      </c>
      <c r="D717" t="s">
        <v>34</v>
      </c>
      <c r="E717">
        <v>6954.35</v>
      </c>
      <c r="F717">
        <v>14</v>
      </c>
      <c r="G717" t="s">
        <v>26</v>
      </c>
      <c r="H717">
        <v>4503.7299999999996</v>
      </c>
      <c r="I717">
        <v>4879.8799999999901</v>
      </c>
      <c r="J717">
        <f>Table2[[#This Row],[Sales_Amount]]-(Table2[[#This Row],[Quantity_Sold]]*Table2[[#This Row],[Unit_Cost]])</f>
        <v>-56097.869999999995</v>
      </c>
    </row>
    <row r="718" spans="1:10" x14ac:dyDescent="0.3">
      <c r="A718">
        <v>1058</v>
      </c>
      <c r="B718" s="1">
        <v>45289</v>
      </c>
      <c r="C718" t="s">
        <v>24</v>
      </c>
      <c r="D718" t="s">
        <v>15</v>
      </c>
      <c r="E718">
        <v>2714.21</v>
      </c>
      <c r="F718">
        <v>34</v>
      </c>
      <c r="G718" t="s">
        <v>35</v>
      </c>
      <c r="H718">
        <v>3160.61</v>
      </c>
      <c r="I718">
        <v>3273.22</v>
      </c>
      <c r="J718">
        <f>Table2[[#This Row],[Sales_Amount]]-(Table2[[#This Row],[Quantity_Sold]]*Table2[[#This Row],[Unit_Cost]])</f>
        <v>-104746.53</v>
      </c>
    </row>
    <row r="719" spans="1:10" x14ac:dyDescent="0.3">
      <c r="A719">
        <v>1044</v>
      </c>
      <c r="B719" s="1">
        <v>44971</v>
      </c>
      <c r="C719" t="s">
        <v>24</v>
      </c>
      <c r="D719" t="s">
        <v>21</v>
      </c>
      <c r="E719">
        <v>9396.7800000000007</v>
      </c>
      <c r="F719">
        <v>12</v>
      </c>
      <c r="G719" t="s">
        <v>35</v>
      </c>
      <c r="H719">
        <v>2221.31</v>
      </c>
      <c r="I719">
        <v>2494.48</v>
      </c>
      <c r="J719">
        <f>Table2[[#This Row],[Sales_Amount]]-(Table2[[#This Row],[Quantity_Sold]]*Table2[[#This Row],[Unit_Cost]])</f>
        <v>-17258.940000000002</v>
      </c>
    </row>
    <row r="720" spans="1:10" x14ac:dyDescent="0.3">
      <c r="A720">
        <v>1045</v>
      </c>
      <c r="B720" s="1">
        <v>45271</v>
      </c>
      <c r="C720" t="s">
        <v>42</v>
      </c>
      <c r="D720" t="s">
        <v>21</v>
      </c>
      <c r="E720">
        <v>6400.11</v>
      </c>
      <c r="F720">
        <v>22</v>
      </c>
      <c r="G720" t="s">
        <v>29</v>
      </c>
      <c r="H720">
        <v>241.85</v>
      </c>
      <c r="I720">
        <v>613.09</v>
      </c>
      <c r="J720">
        <f>Table2[[#This Row],[Sales_Amount]]-(Table2[[#This Row],[Quantity_Sold]]*Table2[[#This Row],[Unit_Cost]])</f>
        <v>1079.4099999999999</v>
      </c>
    </row>
    <row r="721" spans="1:10" x14ac:dyDescent="0.3">
      <c r="A721">
        <v>1032</v>
      </c>
      <c r="B721" s="1">
        <v>45107</v>
      </c>
      <c r="C721" t="s">
        <v>38</v>
      </c>
      <c r="D721" t="s">
        <v>15</v>
      </c>
      <c r="E721">
        <v>3312.67</v>
      </c>
      <c r="F721">
        <v>6</v>
      </c>
      <c r="G721" t="s">
        <v>29</v>
      </c>
      <c r="H721">
        <v>2522.7600000000002</v>
      </c>
      <c r="I721">
        <v>2840.14</v>
      </c>
      <c r="J721">
        <f>Table2[[#This Row],[Sales_Amount]]-(Table2[[#This Row],[Quantity_Sold]]*Table2[[#This Row],[Unit_Cost]])</f>
        <v>-11823.890000000001</v>
      </c>
    </row>
    <row r="722" spans="1:10" x14ac:dyDescent="0.3">
      <c r="A722">
        <v>1045</v>
      </c>
      <c r="B722" s="1">
        <v>45096</v>
      </c>
      <c r="C722" t="s">
        <v>24</v>
      </c>
      <c r="D722" t="s">
        <v>15</v>
      </c>
      <c r="E722">
        <v>2768.17</v>
      </c>
      <c r="F722">
        <v>36</v>
      </c>
      <c r="G722" t="s">
        <v>35</v>
      </c>
      <c r="H722">
        <v>3835.64</v>
      </c>
      <c r="I722">
        <v>4076.77</v>
      </c>
      <c r="J722">
        <f>Table2[[#This Row],[Sales_Amount]]-(Table2[[#This Row],[Quantity_Sold]]*Table2[[#This Row],[Unit_Cost]])</f>
        <v>-135314.87</v>
      </c>
    </row>
    <row r="723" spans="1:10" x14ac:dyDescent="0.3">
      <c r="A723">
        <v>1061</v>
      </c>
      <c r="B723" s="1">
        <v>45282</v>
      </c>
      <c r="C723" t="s">
        <v>42</v>
      </c>
      <c r="D723" t="s">
        <v>15</v>
      </c>
      <c r="E723">
        <v>1990.17</v>
      </c>
      <c r="F723">
        <v>45</v>
      </c>
      <c r="G723" t="s">
        <v>29</v>
      </c>
      <c r="H723">
        <v>1364.51</v>
      </c>
      <c r="I723">
        <v>1844.8</v>
      </c>
      <c r="J723">
        <f>Table2[[#This Row],[Sales_Amount]]-(Table2[[#This Row],[Quantity_Sold]]*Table2[[#This Row],[Unit_Cost]])</f>
        <v>-59412.78</v>
      </c>
    </row>
    <row r="724" spans="1:10" x14ac:dyDescent="0.3">
      <c r="A724">
        <v>1047</v>
      </c>
      <c r="B724" s="1">
        <v>45117</v>
      </c>
      <c r="C724" t="s">
        <v>24</v>
      </c>
      <c r="D724" t="s">
        <v>15</v>
      </c>
      <c r="E724">
        <v>6976.95</v>
      </c>
      <c r="F724">
        <v>36</v>
      </c>
      <c r="G724" t="s">
        <v>26</v>
      </c>
      <c r="H724">
        <v>4043.53</v>
      </c>
      <c r="I724">
        <v>4384.8500000000004</v>
      </c>
      <c r="J724">
        <f>Table2[[#This Row],[Sales_Amount]]-(Table2[[#This Row],[Quantity_Sold]]*Table2[[#This Row],[Unit_Cost]])</f>
        <v>-138590.13</v>
      </c>
    </row>
    <row r="725" spans="1:10" x14ac:dyDescent="0.3">
      <c r="A725">
        <v>1021</v>
      </c>
      <c r="B725" s="1">
        <v>45081</v>
      </c>
      <c r="C725" t="s">
        <v>38</v>
      </c>
      <c r="D725" t="s">
        <v>15</v>
      </c>
      <c r="E725">
        <v>2265.2800000000002</v>
      </c>
      <c r="F725">
        <v>22</v>
      </c>
      <c r="G725" t="s">
        <v>35</v>
      </c>
      <c r="H725">
        <v>1296.44</v>
      </c>
      <c r="I725">
        <v>1751.24</v>
      </c>
      <c r="J725">
        <f>Table2[[#This Row],[Sales_Amount]]-(Table2[[#This Row],[Quantity_Sold]]*Table2[[#This Row],[Unit_Cost]])</f>
        <v>-26256.400000000001</v>
      </c>
    </row>
    <row r="726" spans="1:10" x14ac:dyDescent="0.3">
      <c r="A726">
        <v>1080</v>
      </c>
      <c r="B726" s="1">
        <v>45114</v>
      </c>
      <c r="C726" t="s">
        <v>33</v>
      </c>
      <c r="D726" t="s">
        <v>21</v>
      </c>
      <c r="E726">
        <v>5993.5</v>
      </c>
      <c r="F726">
        <v>14</v>
      </c>
      <c r="G726" t="s">
        <v>26</v>
      </c>
      <c r="H726">
        <v>4127.54</v>
      </c>
      <c r="I726">
        <v>4495.13</v>
      </c>
      <c r="J726">
        <f>Table2[[#This Row],[Sales_Amount]]-(Table2[[#This Row],[Quantity_Sold]]*Table2[[#This Row],[Unit_Cost]])</f>
        <v>-51792.06</v>
      </c>
    </row>
    <row r="727" spans="1:10" x14ac:dyDescent="0.3">
      <c r="A727">
        <v>1085</v>
      </c>
      <c r="B727" s="1">
        <v>44933</v>
      </c>
      <c r="C727" t="s">
        <v>38</v>
      </c>
      <c r="D727" t="s">
        <v>21</v>
      </c>
      <c r="E727">
        <v>2719.89</v>
      </c>
      <c r="F727">
        <v>16</v>
      </c>
      <c r="G727" t="s">
        <v>26</v>
      </c>
      <c r="H727">
        <v>472.08</v>
      </c>
      <c r="I727">
        <v>842.46</v>
      </c>
      <c r="J727">
        <f>Table2[[#This Row],[Sales_Amount]]-(Table2[[#This Row],[Quantity_Sold]]*Table2[[#This Row],[Unit_Cost]])</f>
        <v>-4833.3899999999994</v>
      </c>
    </row>
    <row r="728" spans="1:10" x14ac:dyDescent="0.3">
      <c r="A728">
        <v>1075</v>
      </c>
      <c r="B728" s="1">
        <v>45059</v>
      </c>
      <c r="C728" t="s">
        <v>14</v>
      </c>
      <c r="D728" t="s">
        <v>34</v>
      </c>
      <c r="E728">
        <v>6653.49</v>
      </c>
      <c r="F728">
        <v>36</v>
      </c>
      <c r="G728" t="s">
        <v>29</v>
      </c>
      <c r="H728">
        <v>4337.6099999999997</v>
      </c>
      <c r="I728">
        <v>4386.82</v>
      </c>
      <c r="J728">
        <f>Table2[[#This Row],[Sales_Amount]]-(Table2[[#This Row],[Quantity_Sold]]*Table2[[#This Row],[Unit_Cost]])</f>
        <v>-149500.47</v>
      </c>
    </row>
    <row r="729" spans="1:10" x14ac:dyDescent="0.3">
      <c r="A729">
        <v>1036</v>
      </c>
      <c r="B729" s="1">
        <v>45161</v>
      </c>
      <c r="C729" t="s">
        <v>24</v>
      </c>
      <c r="D729" t="s">
        <v>34</v>
      </c>
      <c r="E729">
        <v>8167.9</v>
      </c>
      <c r="F729">
        <v>25</v>
      </c>
      <c r="G729" t="s">
        <v>26</v>
      </c>
      <c r="H729">
        <v>2520.9699999999998</v>
      </c>
      <c r="I729">
        <v>2707.1099999999901</v>
      </c>
      <c r="J729">
        <f>Table2[[#This Row],[Sales_Amount]]-(Table2[[#This Row],[Quantity_Sold]]*Table2[[#This Row],[Unit_Cost]])</f>
        <v>-54856.349999999991</v>
      </c>
    </row>
    <row r="730" spans="1:10" x14ac:dyDescent="0.3">
      <c r="A730">
        <v>1099</v>
      </c>
      <c r="B730" s="1">
        <v>44971</v>
      </c>
      <c r="C730" t="s">
        <v>24</v>
      </c>
      <c r="D730" t="s">
        <v>25</v>
      </c>
      <c r="E730">
        <v>7802.45</v>
      </c>
      <c r="F730">
        <v>32</v>
      </c>
      <c r="G730" t="s">
        <v>29</v>
      </c>
      <c r="H730">
        <v>1517.86</v>
      </c>
      <c r="I730">
        <v>1948.46</v>
      </c>
      <c r="J730">
        <f>Table2[[#This Row],[Sales_Amount]]-(Table2[[#This Row],[Quantity_Sold]]*Table2[[#This Row],[Unit_Cost]])</f>
        <v>-40769.07</v>
      </c>
    </row>
    <row r="731" spans="1:10" x14ac:dyDescent="0.3">
      <c r="A731">
        <v>1019</v>
      </c>
      <c r="B731" s="1">
        <v>45240</v>
      </c>
      <c r="C731" t="s">
        <v>14</v>
      </c>
      <c r="D731" t="s">
        <v>34</v>
      </c>
      <c r="E731">
        <v>7632.43</v>
      </c>
      <c r="F731">
        <v>33</v>
      </c>
      <c r="G731" t="s">
        <v>16</v>
      </c>
      <c r="H731">
        <v>1362.31</v>
      </c>
      <c r="I731">
        <v>1486.29</v>
      </c>
      <c r="J731">
        <f>Table2[[#This Row],[Sales_Amount]]-(Table2[[#This Row],[Quantity_Sold]]*Table2[[#This Row],[Unit_Cost]])</f>
        <v>-37323.799999999996</v>
      </c>
    </row>
    <row r="732" spans="1:10" x14ac:dyDescent="0.3">
      <c r="A732">
        <v>1020</v>
      </c>
      <c r="B732" s="1">
        <v>45175</v>
      </c>
      <c r="C732" t="s">
        <v>14</v>
      </c>
      <c r="D732" t="s">
        <v>34</v>
      </c>
      <c r="E732">
        <v>1958.45</v>
      </c>
      <c r="F732">
        <v>45</v>
      </c>
      <c r="G732" t="s">
        <v>29</v>
      </c>
      <c r="H732">
        <v>2188.4499999999998</v>
      </c>
      <c r="I732">
        <v>2255.0499999999902</v>
      </c>
      <c r="J732">
        <f>Table2[[#This Row],[Sales_Amount]]-(Table2[[#This Row],[Quantity_Sold]]*Table2[[#This Row],[Unit_Cost]])</f>
        <v>-96521.799999999988</v>
      </c>
    </row>
    <row r="733" spans="1:10" x14ac:dyDescent="0.3">
      <c r="A733">
        <v>1057</v>
      </c>
      <c r="B733" s="1">
        <v>44957</v>
      </c>
      <c r="C733" t="s">
        <v>33</v>
      </c>
      <c r="D733" t="s">
        <v>15</v>
      </c>
      <c r="E733">
        <v>975.01</v>
      </c>
      <c r="F733">
        <v>36</v>
      </c>
      <c r="G733" t="s">
        <v>26</v>
      </c>
      <c r="H733">
        <v>4995.3</v>
      </c>
      <c r="I733">
        <v>5165.09</v>
      </c>
      <c r="J733">
        <f>Table2[[#This Row],[Sales_Amount]]-(Table2[[#This Row],[Quantity_Sold]]*Table2[[#This Row],[Unit_Cost]])</f>
        <v>-178855.79</v>
      </c>
    </row>
    <row r="734" spans="1:10" x14ac:dyDescent="0.3">
      <c r="A734">
        <v>1018</v>
      </c>
      <c r="B734" s="1">
        <v>44949</v>
      </c>
      <c r="C734" t="s">
        <v>24</v>
      </c>
      <c r="D734" t="s">
        <v>15</v>
      </c>
      <c r="E734">
        <v>7019.59</v>
      </c>
      <c r="F734">
        <v>20</v>
      </c>
      <c r="G734" t="s">
        <v>16</v>
      </c>
      <c r="H734">
        <v>1140.6199999999999</v>
      </c>
      <c r="I734">
        <v>1258.6299999999901</v>
      </c>
      <c r="J734">
        <f>Table2[[#This Row],[Sales_Amount]]-(Table2[[#This Row],[Quantity_Sold]]*Table2[[#This Row],[Unit_Cost]])</f>
        <v>-15792.809999999998</v>
      </c>
    </row>
    <row r="735" spans="1:10" x14ac:dyDescent="0.3">
      <c r="A735">
        <v>1047</v>
      </c>
      <c r="B735" s="1">
        <v>45086</v>
      </c>
      <c r="C735" t="s">
        <v>24</v>
      </c>
      <c r="D735" t="s">
        <v>34</v>
      </c>
      <c r="E735">
        <v>3746.64</v>
      </c>
      <c r="F735">
        <v>18</v>
      </c>
      <c r="G735" t="s">
        <v>29</v>
      </c>
      <c r="H735">
        <v>560.91999999999996</v>
      </c>
      <c r="I735">
        <v>1024.31</v>
      </c>
      <c r="J735">
        <f>Table2[[#This Row],[Sales_Amount]]-(Table2[[#This Row],[Quantity_Sold]]*Table2[[#This Row],[Unit_Cost]])</f>
        <v>-6349.92</v>
      </c>
    </row>
    <row r="736" spans="1:10" x14ac:dyDescent="0.3">
      <c r="A736">
        <v>1049</v>
      </c>
      <c r="B736" s="1">
        <v>45289</v>
      </c>
      <c r="C736" t="s">
        <v>33</v>
      </c>
      <c r="D736" t="s">
        <v>25</v>
      </c>
      <c r="E736">
        <v>4380.2299999999996</v>
      </c>
      <c r="F736">
        <v>38</v>
      </c>
      <c r="G736" t="s">
        <v>26</v>
      </c>
      <c r="H736">
        <v>2945.92</v>
      </c>
      <c r="I736">
        <v>3381.22</v>
      </c>
      <c r="J736">
        <f>Table2[[#This Row],[Sales_Amount]]-(Table2[[#This Row],[Quantity_Sold]]*Table2[[#This Row],[Unit_Cost]])</f>
        <v>-107564.73000000001</v>
      </c>
    </row>
    <row r="737" spans="1:10" x14ac:dyDescent="0.3">
      <c r="A737">
        <v>1014</v>
      </c>
      <c r="B737" s="1">
        <v>45084</v>
      </c>
      <c r="C737" t="s">
        <v>42</v>
      </c>
      <c r="D737" t="s">
        <v>15</v>
      </c>
      <c r="E737">
        <v>408.38</v>
      </c>
      <c r="F737">
        <v>3</v>
      </c>
      <c r="G737" t="s">
        <v>35</v>
      </c>
      <c r="H737">
        <v>2468.29</v>
      </c>
      <c r="I737">
        <v>2723.13</v>
      </c>
      <c r="J737">
        <f>Table2[[#This Row],[Sales_Amount]]-(Table2[[#This Row],[Quantity_Sold]]*Table2[[#This Row],[Unit_Cost]])</f>
        <v>-6996.49</v>
      </c>
    </row>
    <row r="738" spans="1:10" x14ac:dyDescent="0.3">
      <c r="A738">
        <v>1015</v>
      </c>
      <c r="B738" s="1">
        <v>44965</v>
      </c>
      <c r="C738" t="s">
        <v>33</v>
      </c>
      <c r="D738" t="s">
        <v>34</v>
      </c>
      <c r="E738">
        <v>2669.81</v>
      </c>
      <c r="F738">
        <v>23</v>
      </c>
      <c r="G738" t="s">
        <v>35</v>
      </c>
      <c r="H738">
        <v>2644.77</v>
      </c>
      <c r="I738">
        <v>2684.83</v>
      </c>
      <c r="J738">
        <f>Table2[[#This Row],[Sales_Amount]]-(Table2[[#This Row],[Quantity_Sold]]*Table2[[#This Row],[Unit_Cost]])</f>
        <v>-58159.9</v>
      </c>
    </row>
    <row r="739" spans="1:10" x14ac:dyDescent="0.3">
      <c r="A739">
        <v>1031</v>
      </c>
      <c r="B739" s="1">
        <v>45008</v>
      </c>
      <c r="C739" t="s">
        <v>38</v>
      </c>
      <c r="D739" t="s">
        <v>34</v>
      </c>
      <c r="E739">
        <v>433.4</v>
      </c>
      <c r="F739">
        <v>32</v>
      </c>
      <c r="G739" t="s">
        <v>29</v>
      </c>
      <c r="H739">
        <v>3351.33</v>
      </c>
      <c r="I739">
        <v>3711.47</v>
      </c>
      <c r="J739">
        <f>Table2[[#This Row],[Sales_Amount]]-(Table2[[#This Row],[Quantity_Sold]]*Table2[[#This Row],[Unit_Cost]])</f>
        <v>-106809.16</v>
      </c>
    </row>
    <row r="740" spans="1:10" x14ac:dyDescent="0.3">
      <c r="A740">
        <v>1001</v>
      </c>
      <c r="B740" s="1">
        <v>45282</v>
      </c>
      <c r="C740" t="s">
        <v>24</v>
      </c>
      <c r="D740" t="s">
        <v>21</v>
      </c>
      <c r="E740">
        <v>8803.94</v>
      </c>
      <c r="F740">
        <v>45</v>
      </c>
      <c r="G740" t="s">
        <v>29</v>
      </c>
      <c r="H740">
        <v>1372.36</v>
      </c>
      <c r="I740">
        <v>1687.83</v>
      </c>
      <c r="J740">
        <f>Table2[[#This Row],[Sales_Amount]]-(Table2[[#This Row],[Quantity_Sold]]*Table2[[#This Row],[Unit_Cost]])</f>
        <v>-52952.259999999995</v>
      </c>
    </row>
    <row r="741" spans="1:10" x14ac:dyDescent="0.3">
      <c r="A741">
        <v>1054</v>
      </c>
      <c r="B741" s="1">
        <v>45184</v>
      </c>
      <c r="C741" t="s">
        <v>14</v>
      </c>
      <c r="D741" t="s">
        <v>25</v>
      </c>
      <c r="E741">
        <v>2509.63</v>
      </c>
      <c r="F741">
        <v>16</v>
      </c>
      <c r="G741" t="s">
        <v>35</v>
      </c>
      <c r="H741">
        <v>4557.79</v>
      </c>
      <c r="I741">
        <v>5043.3599999999997</v>
      </c>
      <c r="J741">
        <f>Table2[[#This Row],[Sales_Amount]]-(Table2[[#This Row],[Quantity_Sold]]*Table2[[#This Row],[Unit_Cost]])</f>
        <v>-70415.009999999995</v>
      </c>
    </row>
    <row r="742" spans="1:10" x14ac:dyDescent="0.3">
      <c r="A742">
        <v>1003</v>
      </c>
      <c r="B742" s="1">
        <v>45132</v>
      </c>
      <c r="C742" t="s">
        <v>38</v>
      </c>
      <c r="D742" t="s">
        <v>21</v>
      </c>
      <c r="E742">
        <v>5617.64</v>
      </c>
      <c r="F742">
        <v>5</v>
      </c>
      <c r="G742" t="s">
        <v>26</v>
      </c>
      <c r="H742">
        <v>2206.58</v>
      </c>
      <c r="I742">
        <v>2490.4699999999998</v>
      </c>
      <c r="J742">
        <f>Table2[[#This Row],[Sales_Amount]]-(Table2[[#This Row],[Quantity_Sold]]*Table2[[#This Row],[Unit_Cost]])</f>
        <v>-5415.2599999999993</v>
      </c>
    </row>
    <row r="743" spans="1:10" x14ac:dyDescent="0.3">
      <c r="A743">
        <v>1016</v>
      </c>
      <c r="B743" s="1">
        <v>45003</v>
      </c>
      <c r="C743" t="s">
        <v>24</v>
      </c>
      <c r="D743" t="s">
        <v>25</v>
      </c>
      <c r="E743">
        <v>485.9</v>
      </c>
      <c r="F743">
        <v>4</v>
      </c>
      <c r="G743" t="s">
        <v>26</v>
      </c>
      <c r="H743">
        <v>688.98</v>
      </c>
      <c r="I743">
        <v>863.81</v>
      </c>
      <c r="J743">
        <f>Table2[[#This Row],[Sales_Amount]]-(Table2[[#This Row],[Quantity_Sold]]*Table2[[#This Row],[Unit_Cost]])</f>
        <v>-2270.02</v>
      </c>
    </row>
    <row r="744" spans="1:10" x14ac:dyDescent="0.3">
      <c r="A744">
        <v>1087</v>
      </c>
      <c r="B744" s="1">
        <v>44938</v>
      </c>
      <c r="C744" t="s">
        <v>33</v>
      </c>
      <c r="D744" t="s">
        <v>15</v>
      </c>
      <c r="E744">
        <v>6701.79</v>
      </c>
      <c r="F744">
        <v>21</v>
      </c>
      <c r="G744" t="s">
        <v>26</v>
      </c>
      <c r="H744">
        <v>3724.38</v>
      </c>
      <c r="I744">
        <v>3988.7</v>
      </c>
      <c r="J744">
        <f>Table2[[#This Row],[Sales_Amount]]-(Table2[[#This Row],[Quantity_Sold]]*Table2[[#This Row],[Unit_Cost]])</f>
        <v>-71510.19</v>
      </c>
    </row>
    <row r="745" spans="1:10" x14ac:dyDescent="0.3">
      <c r="A745">
        <v>1057</v>
      </c>
      <c r="B745" s="1">
        <v>45221</v>
      </c>
      <c r="C745" t="s">
        <v>38</v>
      </c>
      <c r="D745" t="s">
        <v>25</v>
      </c>
      <c r="E745">
        <v>3297.97</v>
      </c>
      <c r="F745">
        <v>40</v>
      </c>
      <c r="G745" t="s">
        <v>29</v>
      </c>
      <c r="H745">
        <v>3233.37</v>
      </c>
      <c r="I745">
        <v>3723.21</v>
      </c>
      <c r="J745">
        <f>Table2[[#This Row],[Sales_Amount]]-(Table2[[#This Row],[Quantity_Sold]]*Table2[[#This Row],[Unit_Cost]])</f>
        <v>-126036.82999999999</v>
      </c>
    </row>
    <row r="746" spans="1:10" x14ac:dyDescent="0.3">
      <c r="A746">
        <v>1075</v>
      </c>
      <c r="B746" s="1">
        <v>45150</v>
      </c>
      <c r="C746" t="s">
        <v>24</v>
      </c>
      <c r="D746" t="s">
        <v>34</v>
      </c>
      <c r="E746">
        <v>8989.4</v>
      </c>
      <c r="F746">
        <v>14</v>
      </c>
      <c r="G746" t="s">
        <v>16</v>
      </c>
      <c r="H746">
        <v>1612.93</v>
      </c>
      <c r="I746">
        <v>1964.15</v>
      </c>
      <c r="J746">
        <f>Table2[[#This Row],[Sales_Amount]]-(Table2[[#This Row],[Quantity_Sold]]*Table2[[#This Row],[Unit_Cost]])</f>
        <v>-13591.62</v>
      </c>
    </row>
    <row r="747" spans="1:10" x14ac:dyDescent="0.3">
      <c r="A747">
        <v>1012</v>
      </c>
      <c r="B747" s="1">
        <v>44939</v>
      </c>
      <c r="C747" t="s">
        <v>42</v>
      </c>
      <c r="D747" t="s">
        <v>34</v>
      </c>
      <c r="E747">
        <v>8892.3700000000008</v>
      </c>
      <c r="F747">
        <v>39</v>
      </c>
      <c r="G747" t="s">
        <v>16</v>
      </c>
      <c r="H747">
        <v>3126.52</v>
      </c>
      <c r="I747">
        <v>3465.79</v>
      </c>
      <c r="J747">
        <f>Table2[[#This Row],[Sales_Amount]]-(Table2[[#This Row],[Quantity_Sold]]*Table2[[#This Row],[Unit_Cost]])</f>
        <v>-113041.91</v>
      </c>
    </row>
    <row r="748" spans="1:10" x14ac:dyDescent="0.3">
      <c r="A748">
        <v>1074</v>
      </c>
      <c r="B748" s="1">
        <v>44972</v>
      </c>
      <c r="C748" t="s">
        <v>42</v>
      </c>
      <c r="D748" t="s">
        <v>25</v>
      </c>
      <c r="E748">
        <v>3320.38</v>
      </c>
      <c r="F748">
        <v>31</v>
      </c>
      <c r="G748" t="s">
        <v>16</v>
      </c>
      <c r="H748">
        <v>1138.32</v>
      </c>
      <c r="I748">
        <v>1266.25</v>
      </c>
      <c r="J748">
        <f>Table2[[#This Row],[Sales_Amount]]-(Table2[[#This Row],[Quantity_Sold]]*Table2[[#This Row],[Unit_Cost]])</f>
        <v>-31967.539999999997</v>
      </c>
    </row>
    <row r="749" spans="1:10" x14ac:dyDescent="0.3">
      <c r="A749">
        <v>1096</v>
      </c>
      <c r="B749" s="1">
        <v>45081</v>
      </c>
      <c r="C749" t="s">
        <v>14</v>
      </c>
      <c r="D749" t="s">
        <v>25</v>
      </c>
      <c r="E749">
        <v>9019.51</v>
      </c>
      <c r="F749">
        <v>14</v>
      </c>
      <c r="G749" t="s">
        <v>16</v>
      </c>
      <c r="H749">
        <v>2251.9499999999998</v>
      </c>
      <c r="I749">
        <v>2626.3199999999902</v>
      </c>
      <c r="J749">
        <f>Table2[[#This Row],[Sales_Amount]]-(Table2[[#This Row],[Quantity_Sold]]*Table2[[#This Row],[Unit_Cost]])</f>
        <v>-22507.789999999994</v>
      </c>
    </row>
    <row r="750" spans="1:10" x14ac:dyDescent="0.3">
      <c r="A750">
        <v>1016</v>
      </c>
      <c r="B750" s="1">
        <v>45039</v>
      </c>
      <c r="C750" t="s">
        <v>24</v>
      </c>
      <c r="D750" t="s">
        <v>25</v>
      </c>
      <c r="E750">
        <v>9961.9599999999991</v>
      </c>
      <c r="F750">
        <v>6</v>
      </c>
      <c r="G750" t="s">
        <v>16</v>
      </c>
      <c r="H750">
        <v>4502.09</v>
      </c>
      <c r="I750">
        <v>4879.72</v>
      </c>
      <c r="J750">
        <f>Table2[[#This Row],[Sales_Amount]]-(Table2[[#This Row],[Quantity_Sold]]*Table2[[#This Row],[Unit_Cost]])</f>
        <v>-17050.580000000002</v>
      </c>
    </row>
    <row r="751" spans="1:10" x14ac:dyDescent="0.3">
      <c r="A751">
        <v>1072</v>
      </c>
      <c r="B751" s="1">
        <v>45159</v>
      </c>
      <c r="C751" t="s">
        <v>42</v>
      </c>
      <c r="D751" t="s">
        <v>21</v>
      </c>
      <c r="E751">
        <v>8271.6200000000008</v>
      </c>
      <c r="F751">
        <v>12</v>
      </c>
      <c r="G751" t="s">
        <v>29</v>
      </c>
      <c r="H751">
        <v>710.99</v>
      </c>
      <c r="I751">
        <v>876.46</v>
      </c>
      <c r="J751">
        <f>Table2[[#This Row],[Sales_Amount]]-(Table2[[#This Row],[Quantity_Sold]]*Table2[[#This Row],[Unit_Cost]])</f>
        <v>-260.26000000000022</v>
      </c>
    </row>
    <row r="752" spans="1:10" x14ac:dyDescent="0.3">
      <c r="A752">
        <v>1076</v>
      </c>
      <c r="B752" s="1">
        <v>44943</v>
      </c>
      <c r="C752" t="s">
        <v>33</v>
      </c>
      <c r="D752" t="s">
        <v>25</v>
      </c>
      <c r="E752">
        <v>8464.23</v>
      </c>
      <c r="F752">
        <v>16</v>
      </c>
      <c r="G752" t="s">
        <v>29</v>
      </c>
      <c r="H752">
        <v>1964.15</v>
      </c>
      <c r="I752">
        <v>2211.17</v>
      </c>
      <c r="J752">
        <f>Table2[[#This Row],[Sales_Amount]]-(Table2[[#This Row],[Quantity_Sold]]*Table2[[#This Row],[Unit_Cost]])</f>
        <v>-22962.170000000002</v>
      </c>
    </row>
    <row r="753" spans="1:10" x14ac:dyDescent="0.3">
      <c r="A753">
        <v>1024</v>
      </c>
      <c r="B753" s="1">
        <v>45286</v>
      </c>
      <c r="C753" t="s">
        <v>24</v>
      </c>
      <c r="D753" t="s">
        <v>15</v>
      </c>
      <c r="E753">
        <v>2565.19</v>
      </c>
      <c r="F753">
        <v>17</v>
      </c>
      <c r="G753" t="s">
        <v>16</v>
      </c>
      <c r="H753">
        <v>4114.66</v>
      </c>
      <c r="I753">
        <v>4269.0199999999904</v>
      </c>
      <c r="J753">
        <f>Table2[[#This Row],[Sales_Amount]]-(Table2[[#This Row],[Quantity_Sold]]*Table2[[#This Row],[Unit_Cost]])</f>
        <v>-67384.03</v>
      </c>
    </row>
    <row r="754" spans="1:10" x14ac:dyDescent="0.3">
      <c r="A754">
        <v>1028</v>
      </c>
      <c r="B754" s="1">
        <v>45149</v>
      </c>
      <c r="C754" t="s">
        <v>33</v>
      </c>
      <c r="D754" t="s">
        <v>21</v>
      </c>
      <c r="E754">
        <v>5809.35</v>
      </c>
      <c r="F754">
        <v>45</v>
      </c>
      <c r="G754" t="s">
        <v>29</v>
      </c>
      <c r="H754">
        <v>4848.9799999999996</v>
      </c>
      <c r="I754">
        <v>4985.75</v>
      </c>
      <c r="J754">
        <f>Table2[[#This Row],[Sales_Amount]]-(Table2[[#This Row],[Quantity_Sold]]*Table2[[#This Row],[Unit_Cost]])</f>
        <v>-212394.74999999997</v>
      </c>
    </row>
    <row r="755" spans="1:10" x14ac:dyDescent="0.3">
      <c r="A755">
        <v>1008</v>
      </c>
      <c r="B755" s="1">
        <v>45280</v>
      </c>
      <c r="C755" t="s">
        <v>33</v>
      </c>
      <c r="D755" t="s">
        <v>21</v>
      </c>
      <c r="E755">
        <v>765.83</v>
      </c>
      <c r="F755">
        <v>23</v>
      </c>
      <c r="G755" t="s">
        <v>29</v>
      </c>
      <c r="H755">
        <v>2296.9299999999998</v>
      </c>
      <c r="I755">
        <v>2319.62</v>
      </c>
      <c r="J755">
        <f>Table2[[#This Row],[Sales_Amount]]-(Table2[[#This Row],[Quantity_Sold]]*Table2[[#This Row],[Unit_Cost]])</f>
        <v>-52063.56</v>
      </c>
    </row>
    <row r="756" spans="1:10" x14ac:dyDescent="0.3">
      <c r="A756">
        <v>1092</v>
      </c>
      <c r="B756" s="1">
        <v>45114</v>
      </c>
      <c r="C756" t="s">
        <v>42</v>
      </c>
      <c r="D756" t="s">
        <v>25</v>
      </c>
      <c r="E756">
        <v>1039.69</v>
      </c>
      <c r="F756">
        <v>14</v>
      </c>
      <c r="G756" t="s">
        <v>16</v>
      </c>
      <c r="H756">
        <v>2559.65</v>
      </c>
      <c r="I756">
        <v>2709.4</v>
      </c>
      <c r="J756">
        <f>Table2[[#This Row],[Sales_Amount]]-(Table2[[#This Row],[Quantity_Sold]]*Table2[[#This Row],[Unit_Cost]])</f>
        <v>-34795.409999999996</v>
      </c>
    </row>
    <row r="757" spans="1:10" x14ac:dyDescent="0.3">
      <c r="A757">
        <v>1036</v>
      </c>
      <c r="B757" s="1">
        <v>45270</v>
      </c>
      <c r="C757" t="s">
        <v>24</v>
      </c>
      <c r="D757" t="s">
        <v>15</v>
      </c>
      <c r="E757">
        <v>9989.0400000000009</v>
      </c>
      <c r="F757">
        <v>7</v>
      </c>
      <c r="G757" t="s">
        <v>26</v>
      </c>
      <c r="H757">
        <v>2882.25</v>
      </c>
      <c r="I757">
        <v>3163.7</v>
      </c>
      <c r="J757">
        <f>Table2[[#This Row],[Sales_Amount]]-(Table2[[#This Row],[Quantity_Sold]]*Table2[[#This Row],[Unit_Cost]])</f>
        <v>-10186.709999999999</v>
      </c>
    </row>
    <row r="758" spans="1:10" x14ac:dyDescent="0.3">
      <c r="A758">
        <v>1090</v>
      </c>
      <c r="B758" s="1">
        <v>45291</v>
      </c>
      <c r="C758" t="s">
        <v>38</v>
      </c>
      <c r="D758" t="s">
        <v>21</v>
      </c>
      <c r="E758">
        <v>3333.73</v>
      </c>
      <c r="F758">
        <v>46</v>
      </c>
      <c r="G758" t="s">
        <v>29</v>
      </c>
      <c r="H758">
        <v>4665.12</v>
      </c>
      <c r="I758">
        <v>4675.8999999999996</v>
      </c>
      <c r="J758">
        <f>Table2[[#This Row],[Sales_Amount]]-(Table2[[#This Row],[Quantity_Sold]]*Table2[[#This Row],[Unit_Cost]])</f>
        <v>-211261.78999999998</v>
      </c>
    </row>
    <row r="759" spans="1:10" x14ac:dyDescent="0.3">
      <c r="A759">
        <v>1008</v>
      </c>
      <c r="B759" s="1">
        <v>45089</v>
      </c>
      <c r="C759" t="s">
        <v>42</v>
      </c>
      <c r="D759" t="s">
        <v>34</v>
      </c>
      <c r="E759">
        <v>7507.02</v>
      </c>
      <c r="F759">
        <v>32</v>
      </c>
      <c r="G759" t="s">
        <v>26</v>
      </c>
      <c r="H759">
        <v>4298.12</v>
      </c>
      <c r="I759">
        <v>4446.8999999999996</v>
      </c>
      <c r="J759">
        <f>Table2[[#This Row],[Sales_Amount]]-(Table2[[#This Row],[Quantity_Sold]]*Table2[[#This Row],[Unit_Cost]])</f>
        <v>-130032.81999999999</v>
      </c>
    </row>
    <row r="760" spans="1:10" x14ac:dyDescent="0.3">
      <c r="A760">
        <v>1058</v>
      </c>
      <c r="B760" s="1">
        <v>45252</v>
      </c>
      <c r="C760" t="s">
        <v>42</v>
      </c>
      <c r="D760" t="s">
        <v>21</v>
      </c>
      <c r="E760">
        <v>8085.98</v>
      </c>
      <c r="F760">
        <v>15</v>
      </c>
      <c r="G760" t="s">
        <v>29</v>
      </c>
      <c r="H760">
        <v>894.48</v>
      </c>
      <c r="I760">
        <v>1336.37</v>
      </c>
      <c r="J760">
        <f>Table2[[#This Row],[Sales_Amount]]-(Table2[[#This Row],[Quantity_Sold]]*Table2[[#This Row],[Unit_Cost]])</f>
        <v>-5331.2200000000012</v>
      </c>
    </row>
    <row r="761" spans="1:10" x14ac:dyDescent="0.3">
      <c r="A761">
        <v>1060</v>
      </c>
      <c r="B761" s="1">
        <v>45000</v>
      </c>
      <c r="C761" t="s">
        <v>24</v>
      </c>
      <c r="D761" t="s">
        <v>25</v>
      </c>
      <c r="E761">
        <v>8594.43</v>
      </c>
      <c r="F761">
        <v>44</v>
      </c>
      <c r="G761" t="s">
        <v>29</v>
      </c>
      <c r="H761">
        <v>2211.9499999999998</v>
      </c>
      <c r="I761">
        <v>2512.8399999999901</v>
      </c>
      <c r="J761">
        <f>Table2[[#This Row],[Sales_Amount]]-(Table2[[#This Row],[Quantity_Sold]]*Table2[[#This Row],[Unit_Cost]])</f>
        <v>-88731.37</v>
      </c>
    </row>
    <row r="762" spans="1:10" x14ac:dyDescent="0.3">
      <c r="A762">
        <v>1050</v>
      </c>
      <c r="B762" s="1">
        <v>45159</v>
      </c>
      <c r="C762" t="s">
        <v>24</v>
      </c>
      <c r="D762" t="s">
        <v>15</v>
      </c>
      <c r="E762">
        <v>9976.52</v>
      </c>
      <c r="F762">
        <v>17</v>
      </c>
      <c r="G762" t="s">
        <v>16</v>
      </c>
      <c r="H762">
        <v>2346.8000000000002</v>
      </c>
      <c r="I762">
        <v>2654.65</v>
      </c>
      <c r="J762">
        <f>Table2[[#This Row],[Sales_Amount]]-(Table2[[#This Row],[Quantity_Sold]]*Table2[[#This Row],[Unit_Cost]])</f>
        <v>-29919.080000000005</v>
      </c>
    </row>
    <row r="763" spans="1:10" x14ac:dyDescent="0.3">
      <c r="A763">
        <v>1028</v>
      </c>
      <c r="B763" s="1">
        <v>45150</v>
      </c>
      <c r="C763" t="s">
        <v>33</v>
      </c>
      <c r="D763" t="s">
        <v>25</v>
      </c>
      <c r="E763">
        <v>2490.8200000000002</v>
      </c>
      <c r="F763">
        <v>41</v>
      </c>
      <c r="G763" t="s">
        <v>29</v>
      </c>
      <c r="H763">
        <v>3956.03</v>
      </c>
      <c r="I763">
        <v>4163.68</v>
      </c>
      <c r="J763">
        <f>Table2[[#This Row],[Sales_Amount]]-(Table2[[#This Row],[Quantity_Sold]]*Table2[[#This Row],[Unit_Cost]])</f>
        <v>-159706.41</v>
      </c>
    </row>
    <row r="764" spans="1:10" x14ac:dyDescent="0.3">
      <c r="A764">
        <v>1092</v>
      </c>
      <c r="B764" s="1">
        <v>45245</v>
      </c>
      <c r="C764" t="s">
        <v>24</v>
      </c>
      <c r="D764" t="s">
        <v>34</v>
      </c>
      <c r="E764">
        <v>499.47</v>
      </c>
      <c r="F764">
        <v>47</v>
      </c>
      <c r="G764" t="s">
        <v>35</v>
      </c>
      <c r="H764">
        <v>3034.32</v>
      </c>
      <c r="I764">
        <v>3375.79</v>
      </c>
      <c r="J764">
        <f>Table2[[#This Row],[Sales_Amount]]-(Table2[[#This Row],[Quantity_Sold]]*Table2[[#This Row],[Unit_Cost]])</f>
        <v>-142113.57</v>
      </c>
    </row>
    <row r="765" spans="1:10" x14ac:dyDescent="0.3">
      <c r="A765">
        <v>1041</v>
      </c>
      <c r="B765" s="1">
        <v>44986</v>
      </c>
      <c r="C765" t="s">
        <v>33</v>
      </c>
      <c r="D765" t="s">
        <v>34</v>
      </c>
      <c r="E765">
        <v>4170.8</v>
      </c>
      <c r="F765">
        <v>44</v>
      </c>
      <c r="G765" t="s">
        <v>35</v>
      </c>
      <c r="H765">
        <v>3288.39</v>
      </c>
      <c r="I765">
        <v>3391.46</v>
      </c>
      <c r="J765">
        <f>Table2[[#This Row],[Sales_Amount]]-(Table2[[#This Row],[Quantity_Sold]]*Table2[[#This Row],[Unit_Cost]])</f>
        <v>-140518.36000000002</v>
      </c>
    </row>
    <row r="766" spans="1:10" x14ac:dyDescent="0.3">
      <c r="A766">
        <v>1100</v>
      </c>
      <c r="B766" s="1">
        <v>45261</v>
      </c>
      <c r="C766" t="s">
        <v>42</v>
      </c>
      <c r="D766" t="s">
        <v>34</v>
      </c>
      <c r="E766">
        <v>1387.8</v>
      </c>
      <c r="F766">
        <v>34</v>
      </c>
      <c r="G766" t="s">
        <v>16</v>
      </c>
      <c r="H766">
        <v>4991.09</v>
      </c>
      <c r="I766">
        <v>5402.28</v>
      </c>
      <c r="J766">
        <f>Table2[[#This Row],[Sales_Amount]]-(Table2[[#This Row],[Quantity_Sold]]*Table2[[#This Row],[Unit_Cost]])</f>
        <v>-168309.26</v>
      </c>
    </row>
    <row r="767" spans="1:10" x14ac:dyDescent="0.3">
      <c r="A767">
        <v>1064</v>
      </c>
      <c r="B767" s="1">
        <v>45148</v>
      </c>
      <c r="C767" t="s">
        <v>14</v>
      </c>
      <c r="D767" t="s">
        <v>25</v>
      </c>
      <c r="E767">
        <v>322.02</v>
      </c>
      <c r="F767">
        <v>5</v>
      </c>
      <c r="G767" t="s">
        <v>26</v>
      </c>
      <c r="H767">
        <v>421.05</v>
      </c>
      <c r="I767">
        <v>488.23</v>
      </c>
      <c r="J767">
        <f>Table2[[#This Row],[Sales_Amount]]-(Table2[[#This Row],[Quantity_Sold]]*Table2[[#This Row],[Unit_Cost]])</f>
        <v>-1783.23</v>
      </c>
    </row>
    <row r="768" spans="1:10" x14ac:dyDescent="0.3">
      <c r="A768">
        <v>1027</v>
      </c>
      <c r="B768" s="1">
        <v>44963</v>
      </c>
      <c r="C768" t="s">
        <v>38</v>
      </c>
      <c r="D768" t="s">
        <v>21</v>
      </c>
      <c r="E768">
        <v>3668.23</v>
      </c>
      <c r="F768">
        <v>45</v>
      </c>
      <c r="G768" t="s">
        <v>26</v>
      </c>
      <c r="H768">
        <v>1153.9000000000001</v>
      </c>
      <c r="I768">
        <v>1485.34</v>
      </c>
      <c r="J768">
        <f>Table2[[#This Row],[Sales_Amount]]-(Table2[[#This Row],[Quantity_Sold]]*Table2[[#This Row],[Unit_Cost]])</f>
        <v>-48257.270000000004</v>
      </c>
    </row>
    <row r="769" spans="1:10" x14ac:dyDescent="0.3">
      <c r="A769">
        <v>1063</v>
      </c>
      <c r="B769" s="1">
        <v>45204</v>
      </c>
      <c r="C769" t="s">
        <v>42</v>
      </c>
      <c r="D769" t="s">
        <v>25</v>
      </c>
      <c r="E769">
        <v>7859.01</v>
      </c>
      <c r="F769">
        <v>27</v>
      </c>
      <c r="G769" t="s">
        <v>26</v>
      </c>
      <c r="H769">
        <v>2069.08</v>
      </c>
      <c r="I769">
        <v>2246.2399999999998</v>
      </c>
      <c r="J769">
        <f>Table2[[#This Row],[Sales_Amount]]-(Table2[[#This Row],[Quantity_Sold]]*Table2[[#This Row],[Unit_Cost]])</f>
        <v>-48006.149999999994</v>
      </c>
    </row>
    <row r="770" spans="1:10" x14ac:dyDescent="0.3">
      <c r="A770">
        <v>1017</v>
      </c>
      <c r="B770" s="1">
        <v>45122</v>
      </c>
      <c r="C770" t="s">
        <v>24</v>
      </c>
      <c r="D770" t="s">
        <v>15</v>
      </c>
      <c r="E770">
        <v>5705.19</v>
      </c>
      <c r="F770">
        <v>23</v>
      </c>
      <c r="G770" t="s">
        <v>35</v>
      </c>
      <c r="H770">
        <v>1771.52</v>
      </c>
      <c r="I770">
        <v>2147.8000000000002</v>
      </c>
      <c r="J770">
        <f>Table2[[#This Row],[Sales_Amount]]-(Table2[[#This Row],[Quantity_Sold]]*Table2[[#This Row],[Unit_Cost]])</f>
        <v>-35039.769999999997</v>
      </c>
    </row>
    <row r="771" spans="1:10" x14ac:dyDescent="0.3">
      <c r="A771">
        <v>1073</v>
      </c>
      <c r="B771" s="1">
        <v>45278</v>
      </c>
      <c r="C771" t="s">
        <v>38</v>
      </c>
      <c r="D771" t="s">
        <v>21</v>
      </c>
      <c r="E771">
        <v>3196.5</v>
      </c>
      <c r="F771">
        <v>40</v>
      </c>
      <c r="G771" t="s">
        <v>26</v>
      </c>
      <c r="H771">
        <v>157.15</v>
      </c>
      <c r="I771">
        <v>436.53</v>
      </c>
      <c r="J771">
        <f>Table2[[#This Row],[Sales_Amount]]-(Table2[[#This Row],[Quantity_Sold]]*Table2[[#This Row],[Unit_Cost]])</f>
        <v>-3089.5</v>
      </c>
    </row>
    <row r="772" spans="1:10" x14ac:dyDescent="0.3">
      <c r="A772">
        <v>1033</v>
      </c>
      <c r="B772" s="1">
        <v>45168</v>
      </c>
      <c r="C772" t="s">
        <v>14</v>
      </c>
      <c r="D772" t="s">
        <v>34</v>
      </c>
      <c r="E772">
        <v>6577.99</v>
      </c>
      <c r="F772">
        <v>14</v>
      </c>
      <c r="G772" t="s">
        <v>26</v>
      </c>
      <c r="H772">
        <v>504.3</v>
      </c>
      <c r="I772">
        <v>735.95</v>
      </c>
      <c r="J772">
        <f>Table2[[#This Row],[Sales_Amount]]-(Table2[[#This Row],[Quantity_Sold]]*Table2[[#This Row],[Unit_Cost]])</f>
        <v>-482.21000000000004</v>
      </c>
    </row>
    <row r="773" spans="1:10" x14ac:dyDescent="0.3">
      <c r="A773">
        <v>1084</v>
      </c>
      <c r="B773" s="1">
        <v>45250</v>
      </c>
      <c r="C773" t="s">
        <v>14</v>
      </c>
      <c r="D773" t="s">
        <v>25</v>
      </c>
      <c r="E773">
        <v>2396.98</v>
      </c>
      <c r="F773">
        <v>15</v>
      </c>
      <c r="G773" t="s">
        <v>16</v>
      </c>
      <c r="H773">
        <v>3420.72</v>
      </c>
      <c r="I773">
        <v>3513.74</v>
      </c>
      <c r="J773">
        <f>Table2[[#This Row],[Sales_Amount]]-(Table2[[#This Row],[Quantity_Sold]]*Table2[[#This Row],[Unit_Cost]])</f>
        <v>-48913.819999999992</v>
      </c>
    </row>
    <row r="774" spans="1:10" x14ac:dyDescent="0.3">
      <c r="A774">
        <v>1077</v>
      </c>
      <c r="B774" s="1">
        <v>45145</v>
      </c>
      <c r="C774" t="s">
        <v>33</v>
      </c>
      <c r="D774" t="s">
        <v>34</v>
      </c>
      <c r="E774">
        <v>242.38</v>
      </c>
      <c r="F774">
        <v>43</v>
      </c>
      <c r="G774" t="s">
        <v>26</v>
      </c>
      <c r="H774">
        <v>4402.66</v>
      </c>
      <c r="I774">
        <v>4724.7</v>
      </c>
      <c r="J774">
        <f>Table2[[#This Row],[Sales_Amount]]-(Table2[[#This Row],[Quantity_Sold]]*Table2[[#This Row],[Unit_Cost]])</f>
        <v>-189072</v>
      </c>
    </row>
    <row r="775" spans="1:10" x14ac:dyDescent="0.3">
      <c r="A775">
        <v>1092</v>
      </c>
      <c r="B775" s="1">
        <v>45118</v>
      </c>
      <c r="C775" t="s">
        <v>38</v>
      </c>
      <c r="D775" t="s">
        <v>34</v>
      </c>
      <c r="E775">
        <v>7667.1</v>
      </c>
      <c r="F775">
        <v>33</v>
      </c>
      <c r="G775" t="s">
        <v>35</v>
      </c>
      <c r="H775">
        <v>2595.42</v>
      </c>
      <c r="I775">
        <v>3083.06</v>
      </c>
      <c r="J775">
        <f>Table2[[#This Row],[Sales_Amount]]-(Table2[[#This Row],[Quantity_Sold]]*Table2[[#This Row],[Unit_Cost]])</f>
        <v>-77981.759999999995</v>
      </c>
    </row>
    <row r="776" spans="1:10" x14ac:dyDescent="0.3">
      <c r="A776">
        <v>1029</v>
      </c>
      <c r="B776" s="1">
        <v>44943</v>
      </c>
      <c r="C776" t="s">
        <v>33</v>
      </c>
      <c r="D776" t="s">
        <v>15</v>
      </c>
      <c r="E776">
        <v>6275.06</v>
      </c>
      <c r="F776">
        <v>31</v>
      </c>
      <c r="G776" t="s">
        <v>35</v>
      </c>
      <c r="H776">
        <v>2719</v>
      </c>
      <c r="I776">
        <v>3133.55</v>
      </c>
      <c r="J776">
        <f>Table2[[#This Row],[Sales_Amount]]-(Table2[[#This Row],[Quantity_Sold]]*Table2[[#This Row],[Unit_Cost]])</f>
        <v>-78013.94</v>
      </c>
    </row>
    <row r="777" spans="1:10" x14ac:dyDescent="0.3">
      <c r="A777">
        <v>1013</v>
      </c>
      <c r="B777" s="1">
        <v>44938</v>
      </c>
      <c r="C777" t="s">
        <v>42</v>
      </c>
      <c r="D777" t="s">
        <v>21</v>
      </c>
      <c r="E777">
        <v>7646.8</v>
      </c>
      <c r="F777">
        <v>35</v>
      </c>
      <c r="G777" t="s">
        <v>35</v>
      </c>
      <c r="H777">
        <v>1312.71</v>
      </c>
      <c r="I777">
        <v>1352.11</v>
      </c>
      <c r="J777">
        <f>Table2[[#This Row],[Sales_Amount]]-(Table2[[#This Row],[Quantity_Sold]]*Table2[[#This Row],[Unit_Cost]])</f>
        <v>-38298.049999999996</v>
      </c>
    </row>
    <row r="778" spans="1:10" x14ac:dyDescent="0.3">
      <c r="A778">
        <v>1046</v>
      </c>
      <c r="B778" s="1">
        <v>45119</v>
      </c>
      <c r="C778" t="s">
        <v>38</v>
      </c>
      <c r="D778" t="s">
        <v>15</v>
      </c>
      <c r="E778">
        <v>485.49</v>
      </c>
      <c r="F778">
        <v>17</v>
      </c>
      <c r="G778" t="s">
        <v>16</v>
      </c>
      <c r="H778">
        <v>3850.99</v>
      </c>
      <c r="I778">
        <v>4045.3399999999901</v>
      </c>
      <c r="J778">
        <f>Table2[[#This Row],[Sales_Amount]]-(Table2[[#This Row],[Quantity_Sold]]*Table2[[#This Row],[Unit_Cost]])</f>
        <v>-64981.34</v>
      </c>
    </row>
    <row r="779" spans="1:10" x14ac:dyDescent="0.3">
      <c r="A779">
        <v>1035</v>
      </c>
      <c r="B779" s="1">
        <v>44948</v>
      </c>
      <c r="C779" t="s">
        <v>42</v>
      </c>
      <c r="D779" t="s">
        <v>15</v>
      </c>
      <c r="E779">
        <v>8387.48</v>
      </c>
      <c r="F779">
        <v>28</v>
      </c>
      <c r="G779" t="s">
        <v>16</v>
      </c>
      <c r="H779">
        <v>3771.38</v>
      </c>
      <c r="I779">
        <v>4234.92</v>
      </c>
      <c r="J779">
        <f>Table2[[#This Row],[Sales_Amount]]-(Table2[[#This Row],[Quantity_Sold]]*Table2[[#This Row],[Unit_Cost]])</f>
        <v>-97211.16</v>
      </c>
    </row>
    <row r="780" spans="1:10" x14ac:dyDescent="0.3">
      <c r="A780">
        <v>1006</v>
      </c>
      <c r="B780" s="1">
        <v>45046</v>
      </c>
      <c r="C780" t="s">
        <v>33</v>
      </c>
      <c r="D780" t="s">
        <v>15</v>
      </c>
      <c r="E780">
        <v>6233.31</v>
      </c>
      <c r="F780">
        <v>19</v>
      </c>
      <c r="G780" t="s">
        <v>29</v>
      </c>
      <c r="H780">
        <v>2962.41</v>
      </c>
      <c r="I780">
        <v>3218.8999999999901</v>
      </c>
      <c r="J780">
        <f>Table2[[#This Row],[Sales_Amount]]-(Table2[[#This Row],[Quantity_Sold]]*Table2[[#This Row],[Unit_Cost]])</f>
        <v>-50052.479999999996</v>
      </c>
    </row>
    <row r="781" spans="1:10" x14ac:dyDescent="0.3">
      <c r="A781">
        <v>1082</v>
      </c>
      <c r="B781" s="1">
        <v>45136</v>
      </c>
      <c r="C781" t="s">
        <v>38</v>
      </c>
      <c r="D781" t="s">
        <v>34</v>
      </c>
      <c r="E781">
        <v>5677.61</v>
      </c>
      <c r="F781">
        <v>46</v>
      </c>
      <c r="G781" t="s">
        <v>26</v>
      </c>
      <c r="H781">
        <v>1102.69</v>
      </c>
      <c r="I781">
        <v>1437.12</v>
      </c>
      <c r="J781">
        <f>Table2[[#This Row],[Sales_Amount]]-(Table2[[#This Row],[Quantity_Sold]]*Table2[[#This Row],[Unit_Cost]])</f>
        <v>-45046.130000000005</v>
      </c>
    </row>
    <row r="782" spans="1:10" x14ac:dyDescent="0.3">
      <c r="A782">
        <v>1069</v>
      </c>
      <c r="B782" s="1">
        <v>45232</v>
      </c>
      <c r="C782" t="s">
        <v>33</v>
      </c>
      <c r="D782" t="s">
        <v>15</v>
      </c>
      <c r="E782">
        <v>6283.68</v>
      </c>
      <c r="F782">
        <v>23</v>
      </c>
      <c r="G782" t="s">
        <v>16</v>
      </c>
      <c r="H782">
        <v>530.24</v>
      </c>
      <c r="I782">
        <v>987.41</v>
      </c>
      <c r="J782">
        <f>Table2[[#This Row],[Sales_Amount]]-(Table2[[#This Row],[Quantity_Sold]]*Table2[[#This Row],[Unit_Cost]])</f>
        <v>-5911.84</v>
      </c>
    </row>
    <row r="783" spans="1:10" x14ac:dyDescent="0.3">
      <c r="A783">
        <v>1047</v>
      </c>
      <c r="B783" s="1">
        <v>45196</v>
      </c>
      <c r="C783" t="s">
        <v>38</v>
      </c>
      <c r="D783" t="s">
        <v>15</v>
      </c>
      <c r="E783">
        <v>8657.89</v>
      </c>
      <c r="F783">
        <v>32</v>
      </c>
      <c r="G783" t="s">
        <v>35</v>
      </c>
      <c r="H783">
        <v>367.98</v>
      </c>
      <c r="I783">
        <v>806.14</v>
      </c>
      <c r="J783">
        <f>Table2[[#This Row],[Sales_Amount]]-(Table2[[#This Row],[Quantity_Sold]]*Table2[[#This Row],[Unit_Cost]])</f>
        <v>-3117.4700000000012</v>
      </c>
    </row>
    <row r="784" spans="1:10" x14ac:dyDescent="0.3">
      <c r="A784">
        <v>1025</v>
      </c>
      <c r="B784" s="1">
        <v>45118</v>
      </c>
      <c r="C784" t="s">
        <v>33</v>
      </c>
      <c r="D784" t="s">
        <v>21</v>
      </c>
      <c r="E784">
        <v>5910.67</v>
      </c>
      <c r="F784">
        <v>40</v>
      </c>
      <c r="G784" t="s">
        <v>35</v>
      </c>
      <c r="H784">
        <v>2983.85</v>
      </c>
      <c r="I784">
        <v>3239.74</v>
      </c>
      <c r="J784">
        <f>Table2[[#This Row],[Sales_Amount]]-(Table2[[#This Row],[Quantity_Sold]]*Table2[[#This Row],[Unit_Cost]])</f>
        <v>-113443.33</v>
      </c>
    </row>
    <row r="785" spans="1:10" x14ac:dyDescent="0.3">
      <c r="A785">
        <v>1066</v>
      </c>
      <c r="B785" s="1">
        <v>45101</v>
      </c>
      <c r="C785" t="s">
        <v>14</v>
      </c>
      <c r="D785" t="s">
        <v>21</v>
      </c>
      <c r="E785">
        <v>5851.41</v>
      </c>
      <c r="F785">
        <v>13</v>
      </c>
      <c r="G785" t="s">
        <v>16</v>
      </c>
      <c r="H785">
        <v>4133.92</v>
      </c>
      <c r="I785">
        <v>4358.37</v>
      </c>
      <c r="J785">
        <f>Table2[[#This Row],[Sales_Amount]]-(Table2[[#This Row],[Quantity_Sold]]*Table2[[#This Row],[Unit_Cost]])</f>
        <v>-47889.55</v>
      </c>
    </row>
    <row r="786" spans="1:10" x14ac:dyDescent="0.3">
      <c r="A786">
        <v>1010</v>
      </c>
      <c r="B786" s="1">
        <v>45211</v>
      </c>
      <c r="C786" t="s">
        <v>33</v>
      </c>
      <c r="D786" t="s">
        <v>15</v>
      </c>
      <c r="E786">
        <v>9907.7199999999993</v>
      </c>
      <c r="F786">
        <v>20</v>
      </c>
      <c r="G786" t="s">
        <v>16</v>
      </c>
      <c r="H786">
        <v>4298.74</v>
      </c>
      <c r="I786">
        <v>4475.1899999999996</v>
      </c>
      <c r="J786">
        <f>Table2[[#This Row],[Sales_Amount]]-(Table2[[#This Row],[Quantity_Sold]]*Table2[[#This Row],[Unit_Cost]])</f>
        <v>-76067.079999999987</v>
      </c>
    </row>
    <row r="787" spans="1:10" x14ac:dyDescent="0.3">
      <c r="A787">
        <v>1056</v>
      </c>
      <c r="B787" s="1">
        <v>45130</v>
      </c>
      <c r="C787" t="s">
        <v>14</v>
      </c>
      <c r="D787" t="s">
        <v>21</v>
      </c>
      <c r="E787">
        <v>7591.63</v>
      </c>
      <c r="F787">
        <v>35</v>
      </c>
      <c r="G787" t="s">
        <v>16</v>
      </c>
      <c r="H787">
        <v>2344.9299999999998</v>
      </c>
      <c r="I787">
        <v>2707.25</v>
      </c>
      <c r="J787">
        <f>Table2[[#This Row],[Sales_Amount]]-(Table2[[#This Row],[Quantity_Sold]]*Table2[[#This Row],[Unit_Cost]])</f>
        <v>-74480.919999999984</v>
      </c>
    </row>
    <row r="788" spans="1:10" x14ac:dyDescent="0.3">
      <c r="A788">
        <v>1030</v>
      </c>
      <c r="B788" s="1">
        <v>45090</v>
      </c>
      <c r="C788" t="s">
        <v>33</v>
      </c>
      <c r="D788" t="s">
        <v>21</v>
      </c>
      <c r="E788">
        <v>4478.71</v>
      </c>
      <c r="F788">
        <v>5</v>
      </c>
      <c r="G788" t="s">
        <v>29</v>
      </c>
      <c r="H788">
        <v>3932.14</v>
      </c>
      <c r="I788">
        <v>4082.7599999999902</v>
      </c>
      <c r="J788">
        <f>Table2[[#This Row],[Sales_Amount]]-(Table2[[#This Row],[Quantity_Sold]]*Table2[[#This Row],[Unit_Cost]])</f>
        <v>-15181.990000000002</v>
      </c>
    </row>
    <row r="789" spans="1:10" x14ac:dyDescent="0.3">
      <c r="A789">
        <v>1005</v>
      </c>
      <c r="B789" s="1">
        <v>45177</v>
      </c>
      <c r="C789" t="s">
        <v>38</v>
      </c>
      <c r="D789" t="s">
        <v>15</v>
      </c>
      <c r="E789">
        <v>7103.23</v>
      </c>
      <c r="F789">
        <v>9</v>
      </c>
      <c r="G789" t="s">
        <v>35</v>
      </c>
      <c r="H789">
        <v>4737.0600000000004</v>
      </c>
      <c r="I789">
        <v>4869.5</v>
      </c>
      <c r="J789">
        <f>Table2[[#This Row],[Sales_Amount]]-(Table2[[#This Row],[Quantity_Sold]]*Table2[[#This Row],[Unit_Cost]])</f>
        <v>-35530.31</v>
      </c>
    </row>
    <row r="790" spans="1:10" x14ac:dyDescent="0.3">
      <c r="A790">
        <v>1033</v>
      </c>
      <c r="B790" s="1">
        <v>45153</v>
      </c>
      <c r="C790" t="s">
        <v>38</v>
      </c>
      <c r="D790" t="s">
        <v>34</v>
      </c>
      <c r="E790">
        <v>3953.38</v>
      </c>
      <c r="F790">
        <v>29</v>
      </c>
      <c r="G790" t="s">
        <v>29</v>
      </c>
      <c r="H790">
        <v>1412.09</v>
      </c>
      <c r="I790">
        <v>1596.6499999999901</v>
      </c>
      <c r="J790">
        <f>Table2[[#This Row],[Sales_Amount]]-(Table2[[#This Row],[Quantity_Sold]]*Table2[[#This Row],[Unit_Cost]])</f>
        <v>-36997.230000000003</v>
      </c>
    </row>
    <row r="791" spans="1:10" x14ac:dyDescent="0.3">
      <c r="A791">
        <v>1065</v>
      </c>
      <c r="B791" s="1">
        <v>44933</v>
      </c>
      <c r="C791" t="s">
        <v>38</v>
      </c>
      <c r="D791" t="s">
        <v>15</v>
      </c>
      <c r="E791">
        <v>2365.87</v>
      </c>
      <c r="F791">
        <v>6</v>
      </c>
      <c r="G791" t="s">
        <v>29</v>
      </c>
      <c r="H791">
        <v>2019.9</v>
      </c>
      <c r="I791">
        <v>2116.7399999999998</v>
      </c>
      <c r="J791">
        <f>Table2[[#This Row],[Sales_Amount]]-(Table2[[#This Row],[Quantity_Sold]]*Table2[[#This Row],[Unit_Cost]])</f>
        <v>-9753.5300000000025</v>
      </c>
    </row>
    <row r="792" spans="1:10" x14ac:dyDescent="0.3">
      <c r="A792">
        <v>1018</v>
      </c>
      <c r="B792" s="1">
        <v>44955</v>
      </c>
      <c r="C792" t="s">
        <v>24</v>
      </c>
      <c r="D792" t="s">
        <v>21</v>
      </c>
      <c r="E792">
        <v>6008.83</v>
      </c>
      <c r="F792">
        <v>25</v>
      </c>
      <c r="G792" t="s">
        <v>26</v>
      </c>
      <c r="H792">
        <v>4660.82</v>
      </c>
      <c r="I792">
        <v>5011.4299999999903</v>
      </c>
      <c r="J792">
        <f>Table2[[#This Row],[Sales_Amount]]-(Table2[[#This Row],[Quantity_Sold]]*Table2[[#This Row],[Unit_Cost]])</f>
        <v>-110511.67</v>
      </c>
    </row>
    <row r="793" spans="1:10" x14ac:dyDescent="0.3">
      <c r="A793">
        <v>1096</v>
      </c>
      <c r="B793" s="1">
        <v>44959</v>
      </c>
      <c r="C793" t="s">
        <v>42</v>
      </c>
      <c r="D793" t="s">
        <v>34</v>
      </c>
      <c r="E793">
        <v>9289</v>
      </c>
      <c r="F793">
        <v>31</v>
      </c>
      <c r="G793" t="s">
        <v>35</v>
      </c>
      <c r="H793">
        <v>1724.24</v>
      </c>
      <c r="I793">
        <v>2036.2</v>
      </c>
      <c r="J793">
        <f>Table2[[#This Row],[Sales_Amount]]-(Table2[[#This Row],[Quantity_Sold]]*Table2[[#This Row],[Unit_Cost]])</f>
        <v>-44162.44</v>
      </c>
    </row>
    <row r="794" spans="1:10" x14ac:dyDescent="0.3">
      <c r="A794">
        <v>1049</v>
      </c>
      <c r="B794" s="1">
        <v>45060</v>
      </c>
      <c r="C794" t="s">
        <v>38</v>
      </c>
      <c r="D794" t="s">
        <v>25</v>
      </c>
      <c r="E794">
        <v>9298.48</v>
      </c>
      <c r="F794">
        <v>22</v>
      </c>
      <c r="G794" t="s">
        <v>35</v>
      </c>
      <c r="H794">
        <v>4573.6899999999996</v>
      </c>
      <c r="I794">
        <v>4820.2999999999902</v>
      </c>
      <c r="J794">
        <f>Table2[[#This Row],[Sales_Amount]]-(Table2[[#This Row],[Quantity_Sold]]*Table2[[#This Row],[Unit_Cost]])</f>
        <v>-91322.7</v>
      </c>
    </row>
    <row r="795" spans="1:10" x14ac:dyDescent="0.3">
      <c r="A795">
        <v>1011</v>
      </c>
      <c r="B795" s="1">
        <v>45005</v>
      </c>
      <c r="C795" t="s">
        <v>14</v>
      </c>
      <c r="D795" t="s">
        <v>34</v>
      </c>
      <c r="E795">
        <v>3484.86</v>
      </c>
      <c r="F795">
        <v>2</v>
      </c>
      <c r="G795" t="s">
        <v>16</v>
      </c>
      <c r="H795">
        <v>4906.17</v>
      </c>
      <c r="I795">
        <v>5107.43</v>
      </c>
      <c r="J795">
        <f>Table2[[#This Row],[Sales_Amount]]-(Table2[[#This Row],[Quantity_Sold]]*Table2[[#This Row],[Unit_Cost]])</f>
        <v>-6327.48</v>
      </c>
    </row>
    <row r="796" spans="1:10" x14ac:dyDescent="0.3">
      <c r="A796">
        <v>1085</v>
      </c>
      <c r="B796" s="1">
        <v>44984</v>
      </c>
      <c r="C796" t="s">
        <v>38</v>
      </c>
      <c r="D796" t="s">
        <v>21</v>
      </c>
      <c r="E796">
        <v>5324.01</v>
      </c>
      <c r="F796">
        <v>45</v>
      </c>
      <c r="G796" t="s">
        <v>16</v>
      </c>
      <c r="H796">
        <v>3325.96</v>
      </c>
      <c r="I796">
        <v>3781.4</v>
      </c>
      <c r="J796">
        <f>Table2[[#This Row],[Sales_Amount]]-(Table2[[#This Row],[Quantity_Sold]]*Table2[[#This Row],[Unit_Cost]])</f>
        <v>-144344.19</v>
      </c>
    </row>
    <row r="797" spans="1:10" x14ac:dyDescent="0.3">
      <c r="A797">
        <v>1026</v>
      </c>
      <c r="B797" s="1">
        <v>44952</v>
      </c>
      <c r="C797" t="s">
        <v>24</v>
      </c>
      <c r="D797" t="s">
        <v>34</v>
      </c>
      <c r="E797">
        <v>2195.1999999999998</v>
      </c>
      <c r="F797">
        <v>5</v>
      </c>
      <c r="G797" t="s">
        <v>26</v>
      </c>
      <c r="H797">
        <v>4093.61</v>
      </c>
      <c r="I797">
        <v>4117.88</v>
      </c>
      <c r="J797">
        <f>Table2[[#This Row],[Sales_Amount]]-(Table2[[#This Row],[Quantity_Sold]]*Table2[[#This Row],[Unit_Cost]])</f>
        <v>-18272.849999999999</v>
      </c>
    </row>
    <row r="798" spans="1:10" x14ac:dyDescent="0.3">
      <c r="A798">
        <v>1063</v>
      </c>
      <c r="B798" s="1">
        <v>45152</v>
      </c>
      <c r="C798" t="s">
        <v>14</v>
      </c>
      <c r="D798" t="s">
        <v>15</v>
      </c>
      <c r="E798">
        <v>9956.75</v>
      </c>
      <c r="F798">
        <v>27</v>
      </c>
      <c r="G798" t="s">
        <v>29</v>
      </c>
      <c r="H798">
        <v>3760.25</v>
      </c>
      <c r="I798">
        <v>4147.1099999999997</v>
      </c>
      <c r="J798">
        <f>Table2[[#This Row],[Sales_Amount]]-(Table2[[#This Row],[Quantity_Sold]]*Table2[[#This Row],[Unit_Cost]])</f>
        <v>-91570</v>
      </c>
    </row>
    <row r="799" spans="1:10" x14ac:dyDescent="0.3">
      <c r="A799">
        <v>1089</v>
      </c>
      <c r="B799" s="1">
        <v>45211</v>
      </c>
      <c r="C799" t="s">
        <v>24</v>
      </c>
      <c r="D799" t="s">
        <v>25</v>
      </c>
      <c r="E799">
        <v>9813.07</v>
      </c>
      <c r="F799">
        <v>25</v>
      </c>
      <c r="G799" t="s">
        <v>16</v>
      </c>
      <c r="H799">
        <v>3512.69</v>
      </c>
      <c r="I799">
        <v>3964.63</v>
      </c>
      <c r="J799">
        <f>Table2[[#This Row],[Sales_Amount]]-(Table2[[#This Row],[Quantity_Sold]]*Table2[[#This Row],[Unit_Cost]])</f>
        <v>-78004.179999999993</v>
      </c>
    </row>
    <row r="800" spans="1:10" x14ac:dyDescent="0.3">
      <c r="A800">
        <v>1086</v>
      </c>
      <c r="B800" s="1">
        <v>44930</v>
      </c>
      <c r="C800" t="s">
        <v>14</v>
      </c>
      <c r="D800" t="s">
        <v>25</v>
      </c>
      <c r="E800">
        <v>6530.14</v>
      </c>
      <c r="F800">
        <v>8</v>
      </c>
      <c r="G800" t="s">
        <v>16</v>
      </c>
      <c r="H800">
        <v>1569.31</v>
      </c>
      <c r="I800">
        <v>1798.02</v>
      </c>
      <c r="J800">
        <f>Table2[[#This Row],[Sales_Amount]]-(Table2[[#This Row],[Quantity_Sold]]*Table2[[#This Row],[Unit_Cost]])</f>
        <v>-6024.3399999999992</v>
      </c>
    </row>
    <row r="801" spans="1:10" x14ac:dyDescent="0.3">
      <c r="A801">
        <v>1059</v>
      </c>
      <c r="B801" s="1">
        <v>45025</v>
      </c>
      <c r="C801" t="s">
        <v>33</v>
      </c>
      <c r="D801" t="s">
        <v>25</v>
      </c>
      <c r="E801">
        <v>8063.7</v>
      </c>
      <c r="F801">
        <v>1</v>
      </c>
      <c r="G801" t="s">
        <v>35</v>
      </c>
      <c r="H801">
        <v>332.62</v>
      </c>
      <c r="I801">
        <v>612.46</v>
      </c>
      <c r="J801">
        <f>Table2[[#This Row],[Sales_Amount]]-(Table2[[#This Row],[Quantity_Sold]]*Table2[[#This Row],[Unit_Cost]])</f>
        <v>7731.08</v>
      </c>
    </row>
    <row r="802" spans="1:10" x14ac:dyDescent="0.3">
      <c r="A802">
        <v>1027</v>
      </c>
      <c r="B802" s="1">
        <v>44965</v>
      </c>
      <c r="C802" t="s">
        <v>42</v>
      </c>
      <c r="D802" t="s">
        <v>21</v>
      </c>
      <c r="E802">
        <v>7179.49</v>
      </c>
      <c r="F802">
        <v>20</v>
      </c>
      <c r="G802" t="s">
        <v>35</v>
      </c>
      <c r="H802">
        <v>1748.11</v>
      </c>
      <c r="I802">
        <v>2220.9</v>
      </c>
      <c r="J802">
        <f>Table2[[#This Row],[Sales_Amount]]-(Table2[[#This Row],[Quantity_Sold]]*Table2[[#This Row],[Unit_Cost]])</f>
        <v>-27782.71</v>
      </c>
    </row>
    <row r="803" spans="1:10" x14ac:dyDescent="0.3">
      <c r="A803">
        <v>1049</v>
      </c>
      <c r="B803" s="1">
        <v>45197</v>
      </c>
      <c r="C803" t="s">
        <v>42</v>
      </c>
      <c r="D803" t="s">
        <v>21</v>
      </c>
      <c r="E803">
        <v>5972.27</v>
      </c>
      <c r="F803">
        <v>44</v>
      </c>
      <c r="G803" t="s">
        <v>16</v>
      </c>
      <c r="H803">
        <v>3351.33</v>
      </c>
      <c r="I803">
        <v>3465.35</v>
      </c>
      <c r="J803">
        <f>Table2[[#This Row],[Sales_Amount]]-(Table2[[#This Row],[Quantity_Sold]]*Table2[[#This Row],[Unit_Cost]])</f>
        <v>-141486.25</v>
      </c>
    </row>
    <row r="804" spans="1:10" x14ac:dyDescent="0.3">
      <c r="A804">
        <v>1077</v>
      </c>
      <c r="B804" s="1">
        <v>45211</v>
      </c>
      <c r="C804" t="s">
        <v>24</v>
      </c>
      <c r="D804" t="s">
        <v>25</v>
      </c>
      <c r="E804">
        <v>628.15</v>
      </c>
      <c r="F804">
        <v>23</v>
      </c>
      <c r="G804" t="s">
        <v>35</v>
      </c>
      <c r="H804">
        <v>557.52</v>
      </c>
      <c r="I804">
        <v>822.39</v>
      </c>
      <c r="J804">
        <f>Table2[[#This Row],[Sales_Amount]]-(Table2[[#This Row],[Quantity_Sold]]*Table2[[#This Row],[Unit_Cost]])</f>
        <v>-12194.81</v>
      </c>
    </row>
    <row r="805" spans="1:10" x14ac:dyDescent="0.3">
      <c r="A805">
        <v>1033</v>
      </c>
      <c r="B805" s="1">
        <v>45083</v>
      </c>
      <c r="C805" t="s">
        <v>42</v>
      </c>
      <c r="D805" t="s">
        <v>34</v>
      </c>
      <c r="E805">
        <v>4602.17</v>
      </c>
      <c r="F805">
        <v>32</v>
      </c>
      <c r="G805" t="s">
        <v>26</v>
      </c>
      <c r="H805">
        <v>108.99</v>
      </c>
      <c r="I805">
        <v>351.6</v>
      </c>
      <c r="J805">
        <f>Table2[[#This Row],[Sales_Amount]]-(Table2[[#This Row],[Quantity_Sold]]*Table2[[#This Row],[Unit_Cost]])</f>
        <v>1114.4900000000002</v>
      </c>
    </row>
    <row r="806" spans="1:10" x14ac:dyDescent="0.3">
      <c r="A806">
        <v>1098</v>
      </c>
      <c r="B806" s="1">
        <v>45001</v>
      </c>
      <c r="C806" t="s">
        <v>24</v>
      </c>
      <c r="D806" t="s">
        <v>25</v>
      </c>
      <c r="E806">
        <v>6780.38</v>
      </c>
      <c r="F806">
        <v>11</v>
      </c>
      <c r="G806" t="s">
        <v>16</v>
      </c>
      <c r="H806">
        <v>741.48</v>
      </c>
      <c r="I806">
        <v>878.09</v>
      </c>
      <c r="J806">
        <f>Table2[[#This Row],[Sales_Amount]]-(Table2[[#This Row],[Quantity_Sold]]*Table2[[#This Row],[Unit_Cost]])</f>
        <v>-1375.9000000000005</v>
      </c>
    </row>
    <row r="807" spans="1:10" x14ac:dyDescent="0.3">
      <c r="A807">
        <v>1099</v>
      </c>
      <c r="B807" s="1">
        <v>45214</v>
      </c>
      <c r="C807" t="s">
        <v>24</v>
      </c>
      <c r="D807" t="s">
        <v>34</v>
      </c>
      <c r="E807">
        <v>6807.56</v>
      </c>
      <c r="F807">
        <v>39</v>
      </c>
      <c r="G807" t="s">
        <v>35</v>
      </c>
      <c r="H807">
        <v>3592.89</v>
      </c>
      <c r="I807">
        <v>4004</v>
      </c>
      <c r="J807">
        <f>Table2[[#This Row],[Sales_Amount]]-(Table2[[#This Row],[Quantity_Sold]]*Table2[[#This Row],[Unit_Cost]])</f>
        <v>-133315.15</v>
      </c>
    </row>
    <row r="808" spans="1:10" x14ac:dyDescent="0.3">
      <c r="A808">
        <v>1001</v>
      </c>
      <c r="B808" s="1">
        <v>45056</v>
      </c>
      <c r="C808" t="s">
        <v>24</v>
      </c>
      <c r="D808" t="s">
        <v>34</v>
      </c>
      <c r="E808">
        <v>3793.91</v>
      </c>
      <c r="F808">
        <v>47</v>
      </c>
      <c r="G808" t="s">
        <v>26</v>
      </c>
      <c r="H808">
        <v>4865.33</v>
      </c>
      <c r="I808">
        <v>5316.13</v>
      </c>
      <c r="J808">
        <f>Table2[[#This Row],[Sales_Amount]]-(Table2[[#This Row],[Quantity_Sold]]*Table2[[#This Row],[Unit_Cost]])</f>
        <v>-224876.6</v>
      </c>
    </row>
    <row r="809" spans="1:10" x14ac:dyDescent="0.3">
      <c r="A809">
        <v>1021</v>
      </c>
      <c r="B809" s="1">
        <v>45101</v>
      </c>
      <c r="C809" t="s">
        <v>42</v>
      </c>
      <c r="D809" t="s">
        <v>21</v>
      </c>
      <c r="E809">
        <v>9422.75</v>
      </c>
      <c r="F809">
        <v>24</v>
      </c>
      <c r="G809" t="s">
        <v>35</v>
      </c>
      <c r="H809">
        <v>4916.17</v>
      </c>
      <c r="I809">
        <v>5309.32</v>
      </c>
      <c r="J809">
        <f>Table2[[#This Row],[Sales_Amount]]-(Table2[[#This Row],[Quantity_Sold]]*Table2[[#This Row],[Unit_Cost]])</f>
        <v>-108565.33</v>
      </c>
    </row>
    <row r="810" spans="1:10" x14ac:dyDescent="0.3">
      <c r="A810">
        <v>1055</v>
      </c>
      <c r="B810" s="1">
        <v>45010</v>
      </c>
      <c r="C810" t="s">
        <v>24</v>
      </c>
      <c r="D810" t="s">
        <v>34</v>
      </c>
      <c r="E810">
        <v>1756.83</v>
      </c>
      <c r="F810">
        <v>11</v>
      </c>
      <c r="G810" t="s">
        <v>35</v>
      </c>
      <c r="H810">
        <v>2495.1999999999998</v>
      </c>
      <c r="I810">
        <v>2600.9299999999998</v>
      </c>
      <c r="J810">
        <f>Table2[[#This Row],[Sales_Amount]]-(Table2[[#This Row],[Quantity_Sold]]*Table2[[#This Row],[Unit_Cost]])</f>
        <v>-25690.369999999995</v>
      </c>
    </row>
    <row r="811" spans="1:10" x14ac:dyDescent="0.3">
      <c r="A811">
        <v>1006</v>
      </c>
      <c r="B811" s="1">
        <v>44948</v>
      </c>
      <c r="C811" t="s">
        <v>42</v>
      </c>
      <c r="D811" t="s">
        <v>25</v>
      </c>
      <c r="E811">
        <v>5053.5600000000004</v>
      </c>
      <c r="F811">
        <v>29</v>
      </c>
      <c r="G811" t="s">
        <v>35</v>
      </c>
      <c r="H811">
        <v>4353.29</v>
      </c>
      <c r="I811">
        <v>4405.8</v>
      </c>
      <c r="J811">
        <f>Table2[[#This Row],[Sales_Amount]]-(Table2[[#This Row],[Quantity_Sold]]*Table2[[#This Row],[Unit_Cost]])</f>
        <v>-121191.85</v>
      </c>
    </row>
    <row r="812" spans="1:10" x14ac:dyDescent="0.3">
      <c r="A812">
        <v>1092</v>
      </c>
      <c r="B812" s="1">
        <v>44953</v>
      </c>
      <c r="C812" t="s">
        <v>24</v>
      </c>
      <c r="D812" t="s">
        <v>21</v>
      </c>
      <c r="E812">
        <v>6939.75</v>
      </c>
      <c r="F812">
        <v>26</v>
      </c>
      <c r="G812" t="s">
        <v>16</v>
      </c>
      <c r="H812">
        <v>3697.29</v>
      </c>
      <c r="I812">
        <v>4003.96</v>
      </c>
      <c r="J812">
        <f>Table2[[#This Row],[Sales_Amount]]-(Table2[[#This Row],[Quantity_Sold]]*Table2[[#This Row],[Unit_Cost]])</f>
        <v>-89189.79</v>
      </c>
    </row>
    <row r="813" spans="1:10" x14ac:dyDescent="0.3">
      <c r="A813">
        <v>1081</v>
      </c>
      <c r="B813" s="1">
        <v>45121</v>
      </c>
      <c r="C813" t="s">
        <v>38</v>
      </c>
      <c r="D813" t="s">
        <v>15</v>
      </c>
      <c r="E813">
        <v>7001.64</v>
      </c>
      <c r="F813">
        <v>16</v>
      </c>
      <c r="G813" t="s">
        <v>29</v>
      </c>
      <c r="H813">
        <v>2530.15</v>
      </c>
      <c r="I813">
        <v>2568.13</v>
      </c>
      <c r="J813">
        <f>Table2[[#This Row],[Sales_Amount]]-(Table2[[#This Row],[Quantity_Sold]]*Table2[[#This Row],[Unit_Cost]])</f>
        <v>-33480.76</v>
      </c>
    </row>
    <row r="814" spans="1:10" x14ac:dyDescent="0.3">
      <c r="A814">
        <v>1069</v>
      </c>
      <c r="B814" s="1">
        <v>45263</v>
      </c>
      <c r="C814" t="s">
        <v>24</v>
      </c>
      <c r="D814" t="s">
        <v>15</v>
      </c>
      <c r="E814">
        <v>6521.53</v>
      </c>
      <c r="F814">
        <v>35</v>
      </c>
      <c r="G814" t="s">
        <v>35</v>
      </c>
      <c r="H814">
        <v>2885.16</v>
      </c>
      <c r="I814">
        <v>3224.8399999999901</v>
      </c>
      <c r="J814">
        <f>Table2[[#This Row],[Sales_Amount]]-(Table2[[#This Row],[Quantity_Sold]]*Table2[[#This Row],[Unit_Cost]])</f>
        <v>-94459.069999999992</v>
      </c>
    </row>
    <row r="815" spans="1:10" x14ac:dyDescent="0.3">
      <c r="A815">
        <v>1095</v>
      </c>
      <c r="B815" s="1">
        <v>45162</v>
      </c>
      <c r="C815" t="s">
        <v>14</v>
      </c>
      <c r="D815" t="s">
        <v>21</v>
      </c>
      <c r="E815">
        <v>2825.35</v>
      </c>
      <c r="F815">
        <v>20</v>
      </c>
      <c r="G815" t="s">
        <v>26</v>
      </c>
      <c r="H815">
        <v>729.27</v>
      </c>
      <c r="I815">
        <v>999.18</v>
      </c>
      <c r="J815">
        <f>Table2[[#This Row],[Sales_Amount]]-(Table2[[#This Row],[Quantity_Sold]]*Table2[[#This Row],[Unit_Cost]])</f>
        <v>-11760.05</v>
      </c>
    </row>
    <row r="816" spans="1:10" x14ac:dyDescent="0.3">
      <c r="A816">
        <v>1005</v>
      </c>
      <c r="B816" s="1">
        <v>45018</v>
      </c>
      <c r="C816" t="s">
        <v>24</v>
      </c>
      <c r="D816" t="s">
        <v>25</v>
      </c>
      <c r="E816">
        <v>1646.45</v>
      </c>
      <c r="F816">
        <v>46</v>
      </c>
      <c r="G816" t="s">
        <v>16</v>
      </c>
      <c r="H816">
        <v>4691.42</v>
      </c>
      <c r="I816">
        <v>5026.1899999999996</v>
      </c>
      <c r="J816">
        <f>Table2[[#This Row],[Sales_Amount]]-(Table2[[#This Row],[Quantity_Sold]]*Table2[[#This Row],[Unit_Cost]])</f>
        <v>-214158.87</v>
      </c>
    </row>
    <row r="817" spans="1:10" x14ac:dyDescent="0.3">
      <c r="A817">
        <v>1003</v>
      </c>
      <c r="B817" s="1">
        <v>44947</v>
      </c>
      <c r="C817" t="s">
        <v>33</v>
      </c>
      <c r="D817" t="s">
        <v>15</v>
      </c>
      <c r="E817">
        <v>6395.81</v>
      </c>
      <c r="F817">
        <v>3</v>
      </c>
      <c r="G817" t="s">
        <v>16</v>
      </c>
      <c r="H817">
        <v>1792.05</v>
      </c>
      <c r="I817">
        <v>2091.23</v>
      </c>
      <c r="J817">
        <f>Table2[[#This Row],[Sales_Amount]]-(Table2[[#This Row],[Quantity_Sold]]*Table2[[#This Row],[Unit_Cost]])</f>
        <v>1019.6600000000008</v>
      </c>
    </row>
    <row r="818" spans="1:10" x14ac:dyDescent="0.3">
      <c r="A818">
        <v>1053</v>
      </c>
      <c r="B818" s="1">
        <v>45229</v>
      </c>
      <c r="C818" t="s">
        <v>24</v>
      </c>
      <c r="D818" t="s">
        <v>15</v>
      </c>
      <c r="E818">
        <v>6033.09</v>
      </c>
      <c r="F818">
        <v>1</v>
      </c>
      <c r="G818" t="s">
        <v>26</v>
      </c>
      <c r="H818">
        <v>2258.44</v>
      </c>
      <c r="I818">
        <v>2475.56</v>
      </c>
      <c r="J818">
        <f>Table2[[#This Row],[Sales_Amount]]-(Table2[[#This Row],[Quantity_Sold]]*Table2[[#This Row],[Unit_Cost]])</f>
        <v>3774.65</v>
      </c>
    </row>
    <row r="819" spans="1:10" x14ac:dyDescent="0.3">
      <c r="A819">
        <v>1023</v>
      </c>
      <c r="B819" s="1">
        <v>45283</v>
      </c>
      <c r="C819" t="s">
        <v>14</v>
      </c>
      <c r="D819" t="s">
        <v>34</v>
      </c>
      <c r="E819">
        <v>1875.62</v>
      </c>
      <c r="F819">
        <v>47</v>
      </c>
      <c r="G819" t="s">
        <v>35</v>
      </c>
      <c r="H819">
        <v>3374.72</v>
      </c>
      <c r="I819">
        <v>3483.1499999999901</v>
      </c>
      <c r="J819">
        <f>Table2[[#This Row],[Sales_Amount]]-(Table2[[#This Row],[Quantity_Sold]]*Table2[[#This Row],[Unit_Cost]])</f>
        <v>-156736.22</v>
      </c>
    </row>
    <row r="820" spans="1:10" x14ac:dyDescent="0.3">
      <c r="A820">
        <v>1053</v>
      </c>
      <c r="B820" s="1">
        <v>45010</v>
      </c>
      <c r="C820" t="s">
        <v>14</v>
      </c>
      <c r="D820" t="s">
        <v>34</v>
      </c>
      <c r="E820">
        <v>7080.88</v>
      </c>
      <c r="F820">
        <v>1</v>
      </c>
      <c r="G820" t="s">
        <v>29</v>
      </c>
      <c r="H820">
        <v>1702.82</v>
      </c>
      <c r="I820">
        <v>1862.61</v>
      </c>
      <c r="J820">
        <f>Table2[[#This Row],[Sales_Amount]]-(Table2[[#This Row],[Quantity_Sold]]*Table2[[#This Row],[Unit_Cost]])</f>
        <v>5378.06</v>
      </c>
    </row>
    <row r="821" spans="1:10" x14ac:dyDescent="0.3">
      <c r="A821">
        <v>1037</v>
      </c>
      <c r="B821" s="1">
        <v>45188</v>
      </c>
      <c r="C821" t="s">
        <v>42</v>
      </c>
      <c r="D821" t="s">
        <v>25</v>
      </c>
      <c r="E821">
        <v>4606.2</v>
      </c>
      <c r="F821">
        <v>17</v>
      </c>
      <c r="G821" t="s">
        <v>35</v>
      </c>
      <c r="H821">
        <v>1308.58</v>
      </c>
      <c r="I821">
        <v>1575.59</v>
      </c>
      <c r="J821">
        <f>Table2[[#This Row],[Sales_Amount]]-(Table2[[#This Row],[Quantity_Sold]]*Table2[[#This Row],[Unit_Cost]])</f>
        <v>-17639.66</v>
      </c>
    </row>
    <row r="822" spans="1:10" x14ac:dyDescent="0.3">
      <c r="A822">
        <v>1074</v>
      </c>
      <c r="B822" s="1">
        <v>45073</v>
      </c>
      <c r="C822" t="s">
        <v>38</v>
      </c>
      <c r="D822" t="s">
        <v>21</v>
      </c>
      <c r="E822">
        <v>6710.83</v>
      </c>
      <c r="F822">
        <v>2</v>
      </c>
      <c r="G822" t="s">
        <v>26</v>
      </c>
      <c r="H822">
        <v>3173.69</v>
      </c>
      <c r="I822">
        <v>3503.11</v>
      </c>
      <c r="J822">
        <f>Table2[[#This Row],[Sales_Amount]]-(Table2[[#This Row],[Quantity_Sold]]*Table2[[#This Row],[Unit_Cost]])</f>
        <v>363.44999999999982</v>
      </c>
    </row>
    <row r="823" spans="1:10" x14ac:dyDescent="0.3">
      <c r="A823">
        <v>1074</v>
      </c>
      <c r="B823" s="1">
        <v>45183</v>
      </c>
      <c r="C823" t="s">
        <v>24</v>
      </c>
      <c r="D823" t="s">
        <v>25</v>
      </c>
      <c r="E823">
        <v>8389.93</v>
      </c>
      <c r="F823">
        <v>29</v>
      </c>
      <c r="G823" t="s">
        <v>16</v>
      </c>
      <c r="H823">
        <v>173.67</v>
      </c>
      <c r="I823">
        <v>565.62</v>
      </c>
      <c r="J823">
        <f>Table2[[#This Row],[Sales_Amount]]-(Table2[[#This Row],[Quantity_Sold]]*Table2[[#This Row],[Unit_Cost]])</f>
        <v>3353.5000000000009</v>
      </c>
    </row>
    <row r="824" spans="1:10" x14ac:dyDescent="0.3">
      <c r="A824">
        <v>1083</v>
      </c>
      <c r="B824" s="1">
        <v>44984</v>
      </c>
      <c r="C824" t="s">
        <v>42</v>
      </c>
      <c r="D824" t="s">
        <v>21</v>
      </c>
      <c r="E824">
        <v>1780.31</v>
      </c>
      <c r="F824">
        <v>20</v>
      </c>
      <c r="G824" t="s">
        <v>29</v>
      </c>
      <c r="H824">
        <v>3617.59</v>
      </c>
      <c r="I824">
        <v>4003.5</v>
      </c>
      <c r="J824">
        <f>Table2[[#This Row],[Sales_Amount]]-(Table2[[#This Row],[Quantity_Sold]]*Table2[[#This Row],[Unit_Cost]])</f>
        <v>-70571.490000000005</v>
      </c>
    </row>
    <row r="825" spans="1:10" x14ac:dyDescent="0.3">
      <c r="A825">
        <v>1017</v>
      </c>
      <c r="B825" s="1">
        <v>44941</v>
      </c>
      <c r="C825" t="s">
        <v>38</v>
      </c>
      <c r="D825" t="s">
        <v>15</v>
      </c>
      <c r="E825">
        <v>289.52999999999997</v>
      </c>
      <c r="F825">
        <v>6</v>
      </c>
      <c r="G825" t="s">
        <v>16</v>
      </c>
      <c r="H825">
        <v>2594.42</v>
      </c>
      <c r="I825">
        <v>3081.04</v>
      </c>
      <c r="J825">
        <f>Table2[[#This Row],[Sales_Amount]]-(Table2[[#This Row],[Quantity_Sold]]*Table2[[#This Row],[Unit_Cost]])</f>
        <v>-15276.99</v>
      </c>
    </row>
    <row r="826" spans="1:10" x14ac:dyDescent="0.3">
      <c r="A826">
        <v>1085</v>
      </c>
      <c r="B826" s="1">
        <v>45088</v>
      </c>
      <c r="C826" t="s">
        <v>24</v>
      </c>
      <c r="D826" t="s">
        <v>34</v>
      </c>
      <c r="E826">
        <v>7813.12</v>
      </c>
      <c r="F826">
        <v>8</v>
      </c>
      <c r="G826" t="s">
        <v>26</v>
      </c>
      <c r="H826">
        <v>3048.48</v>
      </c>
      <c r="I826">
        <v>3198.54</v>
      </c>
      <c r="J826">
        <f>Table2[[#This Row],[Sales_Amount]]-(Table2[[#This Row],[Quantity_Sold]]*Table2[[#This Row],[Unit_Cost]])</f>
        <v>-16574.72</v>
      </c>
    </row>
    <row r="827" spans="1:10" x14ac:dyDescent="0.3">
      <c r="A827">
        <v>1078</v>
      </c>
      <c r="B827" s="1">
        <v>45089</v>
      </c>
      <c r="C827" t="s">
        <v>33</v>
      </c>
      <c r="D827" t="s">
        <v>25</v>
      </c>
      <c r="E827">
        <v>6136</v>
      </c>
      <c r="F827">
        <v>29</v>
      </c>
      <c r="G827" t="s">
        <v>35</v>
      </c>
      <c r="H827">
        <v>3177.81</v>
      </c>
      <c r="I827">
        <v>3222.65</v>
      </c>
      <c r="J827">
        <f>Table2[[#This Row],[Sales_Amount]]-(Table2[[#This Row],[Quantity_Sold]]*Table2[[#This Row],[Unit_Cost]])</f>
        <v>-86020.49</v>
      </c>
    </row>
    <row r="828" spans="1:10" x14ac:dyDescent="0.3">
      <c r="A828">
        <v>1073</v>
      </c>
      <c r="B828" s="1">
        <v>45246</v>
      </c>
      <c r="C828" t="s">
        <v>24</v>
      </c>
      <c r="D828" t="s">
        <v>25</v>
      </c>
      <c r="E828">
        <v>7026.43</v>
      </c>
      <c r="F828">
        <v>48</v>
      </c>
      <c r="G828" t="s">
        <v>29</v>
      </c>
      <c r="H828">
        <v>2658.9</v>
      </c>
      <c r="I828">
        <v>2838.27</v>
      </c>
      <c r="J828">
        <f>Table2[[#This Row],[Sales_Amount]]-(Table2[[#This Row],[Quantity_Sold]]*Table2[[#This Row],[Unit_Cost]])</f>
        <v>-120600.77000000002</v>
      </c>
    </row>
    <row r="829" spans="1:10" x14ac:dyDescent="0.3">
      <c r="A829">
        <v>1001</v>
      </c>
      <c r="B829" s="1">
        <v>45207</v>
      </c>
      <c r="C829" t="s">
        <v>14</v>
      </c>
      <c r="D829" t="s">
        <v>21</v>
      </c>
      <c r="E829">
        <v>8397.73</v>
      </c>
      <c r="F829">
        <v>33</v>
      </c>
      <c r="G829" t="s">
        <v>16</v>
      </c>
      <c r="H829">
        <v>2933.54</v>
      </c>
      <c r="I829">
        <v>3307.75</v>
      </c>
      <c r="J829">
        <f>Table2[[#This Row],[Sales_Amount]]-(Table2[[#This Row],[Quantity_Sold]]*Table2[[#This Row],[Unit_Cost]])</f>
        <v>-88409.09</v>
      </c>
    </row>
    <row r="830" spans="1:10" x14ac:dyDescent="0.3">
      <c r="A830">
        <v>1051</v>
      </c>
      <c r="B830" s="1">
        <v>45206</v>
      </c>
      <c r="C830" t="s">
        <v>14</v>
      </c>
      <c r="D830" t="s">
        <v>21</v>
      </c>
      <c r="E830">
        <v>8047.83</v>
      </c>
      <c r="F830">
        <v>3</v>
      </c>
      <c r="G830" t="s">
        <v>16</v>
      </c>
      <c r="H830">
        <v>3434.75</v>
      </c>
      <c r="I830">
        <v>3659.42</v>
      </c>
      <c r="J830">
        <f>Table2[[#This Row],[Sales_Amount]]-(Table2[[#This Row],[Quantity_Sold]]*Table2[[#This Row],[Unit_Cost]])</f>
        <v>-2256.42</v>
      </c>
    </row>
    <row r="831" spans="1:10" x14ac:dyDescent="0.3">
      <c r="A831">
        <v>1045</v>
      </c>
      <c r="B831" s="1">
        <v>44938</v>
      </c>
      <c r="C831" t="s">
        <v>33</v>
      </c>
      <c r="D831" t="s">
        <v>25</v>
      </c>
      <c r="E831">
        <v>9613.11</v>
      </c>
      <c r="F831">
        <v>35</v>
      </c>
      <c r="G831" t="s">
        <v>16</v>
      </c>
      <c r="H831">
        <v>3777.94</v>
      </c>
      <c r="I831">
        <v>4188.66</v>
      </c>
      <c r="J831">
        <f>Table2[[#This Row],[Sales_Amount]]-(Table2[[#This Row],[Quantity_Sold]]*Table2[[#This Row],[Unit_Cost]])</f>
        <v>-122614.79</v>
      </c>
    </row>
    <row r="832" spans="1:10" x14ac:dyDescent="0.3">
      <c r="A832">
        <v>1077</v>
      </c>
      <c r="B832" s="1">
        <v>45200</v>
      </c>
      <c r="C832" t="s">
        <v>42</v>
      </c>
      <c r="D832" t="s">
        <v>21</v>
      </c>
      <c r="E832">
        <v>5405.76</v>
      </c>
      <c r="F832">
        <v>5</v>
      </c>
      <c r="G832" t="s">
        <v>35</v>
      </c>
      <c r="H832">
        <v>3650.89</v>
      </c>
      <c r="I832">
        <v>3930.06</v>
      </c>
      <c r="J832">
        <f>Table2[[#This Row],[Sales_Amount]]-(Table2[[#This Row],[Quantity_Sold]]*Table2[[#This Row],[Unit_Cost]])</f>
        <v>-12848.69</v>
      </c>
    </row>
    <row r="833" spans="1:10" x14ac:dyDescent="0.3">
      <c r="A833">
        <v>1004</v>
      </c>
      <c r="B833" s="1">
        <v>45197</v>
      </c>
      <c r="C833" t="s">
        <v>38</v>
      </c>
      <c r="D833" t="s">
        <v>25</v>
      </c>
      <c r="E833">
        <v>4936.1099999999997</v>
      </c>
      <c r="F833">
        <v>27</v>
      </c>
      <c r="G833" t="s">
        <v>29</v>
      </c>
      <c r="H833">
        <v>4354.6000000000004</v>
      </c>
      <c r="I833">
        <v>4820.2</v>
      </c>
      <c r="J833">
        <f>Table2[[#This Row],[Sales_Amount]]-(Table2[[#This Row],[Quantity_Sold]]*Table2[[#This Row],[Unit_Cost]])</f>
        <v>-112638.09000000001</v>
      </c>
    </row>
    <row r="834" spans="1:10" x14ac:dyDescent="0.3">
      <c r="A834">
        <v>1062</v>
      </c>
      <c r="B834" s="1">
        <v>45134</v>
      </c>
      <c r="C834" t="s">
        <v>24</v>
      </c>
      <c r="D834" t="s">
        <v>25</v>
      </c>
      <c r="E834">
        <v>4078.68</v>
      </c>
      <c r="F834">
        <v>44</v>
      </c>
      <c r="G834" t="s">
        <v>35</v>
      </c>
      <c r="H834">
        <v>987.74</v>
      </c>
      <c r="I834">
        <v>1462.19</v>
      </c>
      <c r="J834">
        <f>Table2[[#This Row],[Sales_Amount]]-(Table2[[#This Row],[Quantity_Sold]]*Table2[[#This Row],[Unit_Cost]])</f>
        <v>-39381.879999999997</v>
      </c>
    </row>
    <row r="835" spans="1:10" x14ac:dyDescent="0.3">
      <c r="A835">
        <v>1065</v>
      </c>
      <c r="B835" s="1">
        <v>44953</v>
      </c>
      <c r="C835" t="s">
        <v>14</v>
      </c>
      <c r="D835" t="s">
        <v>25</v>
      </c>
      <c r="E835">
        <v>1621.54</v>
      </c>
      <c r="F835">
        <v>12</v>
      </c>
      <c r="G835" t="s">
        <v>35</v>
      </c>
      <c r="H835">
        <v>2035.68</v>
      </c>
      <c r="I835">
        <v>2079.64</v>
      </c>
      <c r="J835">
        <f>Table2[[#This Row],[Sales_Amount]]-(Table2[[#This Row],[Quantity_Sold]]*Table2[[#This Row],[Unit_Cost]])</f>
        <v>-22806.62</v>
      </c>
    </row>
    <row r="836" spans="1:10" x14ac:dyDescent="0.3">
      <c r="A836">
        <v>1032</v>
      </c>
      <c r="B836" s="1">
        <v>44998</v>
      </c>
      <c r="C836" t="s">
        <v>42</v>
      </c>
      <c r="D836" t="s">
        <v>15</v>
      </c>
      <c r="E836">
        <v>5768.81</v>
      </c>
      <c r="F836">
        <v>20</v>
      </c>
      <c r="G836" t="s">
        <v>35</v>
      </c>
      <c r="H836">
        <v>4741.59</v>
      </c>
      <c r="I836">
        <v>4975.2299999999996</v>
      </c>
      <c r="J836">
        <f>Table2[[#This Row],[Sales_Amount]]-(Table2[[#This Row],[Quantity_Sold]]*Table2[[#This Row],[Unit_Cost]])</f>
        <v>-89062.99</v>
      </c>
    </row>
    <row r="837" spans="1:10" x14ac:dyDescent="0.3">
      <c r="A837">
        <v>1034</v>
      </c>
      <c r="B837" s="1">
        <v>44986</v>
      </c>
      <c r="C837" t="s">
        <v>33</v>
      </c>
      <c r="D837" t="s">
        <v>21</v>
      </c>
      <c r="E837">
        <v>2842.42</v>
      </c>
      <c r="F837">
        <v>45</v>
      </c>
      <c r="G837" t="s">
        <v>26</v>
      </c>
      <c r="H837">
        <v>2013.12</v>
      </c>
      <c r="I837">
        <v>2321.87</v>
      </c>
      <c r="J837">
        <f>Table2[[#This Row],[Sales_Amount]]-(Table2[[#This Row],[Quantity_Sold]]*Table2[[#This Row],[Unit_Cost]])</f>
        <v>-87747.98</v>
      </c>
    </row>
    <row r="838" spans="1:10" x14ac:dyDescent="0.3">
      <c r="A838">
        <v>1092</v>
      </c>
      <c r="B838" s="1">
        <v>45071</v>
      </c>
      <c r="C838" t="s">
        <v>14</v>
      </c>
      <c r="D838" t="s">
        <v>34</v>
      </c>
      <c r="E838">
        <v>9220.94</v>
      </c>
      <c r="F838">
        <v>20</v>
      </c>
      <c r="G838" t="s">
        <v>26</v>
      </c>
      <c r="H838">
        <v>668.11</v>
      </c>
      <c r="I838">
        <v>803.49</v>
      </c>
      <c r="J838">
        <f>Table2[[#This Row],[Sales_Amount]]-(Table2[[#This Row],[Quantity_Sold]]*Table2[[#This Row],[Unit_Cost]])</f>
        <v>-4141.26</v>
      </c>
    </row>
    <row r="839" spans="1:10" x14ac:dyDescent="0.3">
      <c r="A839">
        <v>1095</v>
      </c>
      <c r="B839" s="1">
        <v>45019</v>
      </c>
      <c r="C839" t="s">
        <v>33</v>
      </c>
      <c r="D839" t="s">
        <v>34</v>
      </c>
      <c r="E839">
        <v>5873.59</v>
      </c>
      <c r="F839">
        <v>9</v>
      </c>
      <c r="G839" t="s">
        <v>26</v>
      </c>
      <c r="H839">
        <v>2650.95</v>
      </c>
      <c r="I839">
        <v>2860.4199999999901</v>
      </c>
      <c r="J839">
        <f>Table2[[#This Row],[Sales_Amount]]-(Table2[[#This Row],[Quantity_Sold]]*Table2[[#This Row],[Unit_Cost]])</f>
        <v>-17984.96</v>
      </c>
    </row>
    <row r="840" spans="1:10" x14ac:dyDescent="0.3">
      <c r="A840">
        <v>1072</v>
      </c>
      <c r="B840" s="1">
        <v>45235</v>
      </c>
      <c r="C840" t="s">
        <v>24</v>
      </c>
      <c r="D840" t="s">
        <v>21</v>
      </c>
      <c r="E840">
        <v>5969.12</v>
      </c>
      <c r="F840">
        <v>39</v>
      </c>
      <c r="G840" t="s">
        <v>29</v>
      </c>
      <c r="H840">
        <v>591.98</v>
      </c>
      <c r="I840">
        <v>934.04</v>
      </c>
      <c r="J840">
        <f>Table2[[#This Row],[Sales_Amount]]-(Table2[[#This Row],[Quantity_Sold]]*Table2[[#This Row],[Unit_Cost]])</f>
        <v>-17118.100000000002</v>
      </c>
    </row>
    <row r="841" spans="1:10" x14ac:dyDescent="0.3">
      <c r="A841">
        <v>1039</v>
      </c>
      <c r="B841" s="1">
        <v>44934</v>
      </c>
      <c r="C841" t="s">
        <v>38</v>
      </c>
      <c r="D841" t="s">
        <v>25</v>
      </c>
      <c r="E841">
        <v>3613.75</v>
      </c>
      <c r="F841">
        <v>4</v>
      </c>
      <c r="G841" t="s">
        <v>35</v>
      </c>
      <c r="H841">
        <v>1054.1199999999999</v>
      </c>
      <c r="I841">
        <v>1175.21999999999</v>
      </c>
      <c r="J841">
        <f>Table2[[#This Row],[Sales_Amount]]-(Table2[[#This Row],[Quantity_Sold]]*Table2[[#This Row],[Unit_Cost]])</f>
        <v>-602.72999999999956</v>
      </c>
    </row>
    <row r="842" spans="1:10" x14ac:dyDescent="0.3">
      <c r="A842">
        <v>1026</v>
      </c>
      <c r="B842" s="1">
        <v>45005</v>
      </c>
      <c r="C842" t="s">
        <v>14</v>
      </c>
      <c r="D842" t="s">
        <v>34</v>
      </c>
      <c r="E842">
        <v>614.69000000000005</v>
      </c>
      <c r="F842">
        <v>19</v>
      </c>
      <c r="G842" t="s">
        <v>35</v>
      </c>
      <c r="H842">
        <v>4991.68</v>
      </c>
      <c r="I842">
        <v>5296.65</v>
      </c>
      <c r="J842">
        <f>Table2[[#This Row],[Sales_Amount]]-(Table2[[#This Row],[Quantity_Sold]]*Table2[[#This Row],[Unit_Cost]])</f>
        <v>-94227.23000000001</v>
      </c>
    </row>
    <row r="843" spans="1:10" x14ac:dyDescent="0.3">
      <c r="A843">
        <v>1034</v>
      </c>
      <c r="B843" s="1">
        <v>44953</v>
      </c>
      <c r="C843" t="s">
        <v>14</v>
      </c>
      <c r="D843" t="s">
        <v>34</v>
      </c>
      <c r="E843">
        <v>414.26</v>
      </c>
      <c r="F843">
        <v>38</v>
      </c>
      <c r="G843" t="s">
        <v>26</v>
      </c>
      <c r="H843">
        <v>2729.75</v>
      </c>
      <c r="I843">
        <v>3081.5</v>
      </c>
      <c r="J843">
        <f>Table2[[#This Row],[Sales_Amount]]-(Table2[[#This Row],[Quantity_Sold]]*Table2[[#This Row],[Unit_Cost]])</f>
        <v>-103316.24</v>
      </c>
    </row>
    <row r="844" spans="1:10" x14ac:dyDescent="0.3">
      <c r="A844">
        <v>1054</v>
      </c>
      <c r="B844" s="1">
        <v>45100</v>
      </c>
      <c r="C844" t="s">
        <v>24</v>
      </c>
      <c r="D844" t="s">
        <v>21</v>
      </c>
      <c r="E844">
        <v>4291.0200000000004</v>
      </c>
      <c r="F844">
        <v>27</v>
      </c>
      <c r="G844" t="s">
        <v>35</v>
      </c>
      <c r="H844">
        <v>1456.09</v>
      </c>
      <c r="I844">
        <v>1510.4299999999901</v>
      </c>
      <c r="J844">
        <f>Table2[[#This Row],[Sales_Amount]]-(Table2[[#This Row],[Quantity_Sold]]*Table2[[#This Row],[Unit_Cost]])</f>
        <v>-35023.410000000003</v>
      </c>
    </row>
    <row r="845" spans="1:10" x14ac:dyDescent="0.3">
      <c r="A845">
        <v>1003</v>
      </c>
      <c r="B845" s="1">
        <v>44976</v>
      </c>
      <c r="C845" t="s">
        <v>42</v>
      </c>
      <c r="D845" t="s">
        <v>34</v>
      </c>
      <c r="E845">
        <v>937.2</v>
      </c>
      <c r="F845">
        <v>45</v>
      </c>
      <c r="G845" t="s">
        <v>35</v>
      </c>
      <c r="H845">
        <v>4974.1400000000003</v>
      </c>
      <c r="I845">
        <v>5227.93</v>
      </c>
      <c r="J845">
        <f>Table2[[#This Row],[Sales_Amount]]-(Table2[[#This Row],[Quantity_Sold]]*Table2[[#This Row],[Unit_Cost]])</f>
        <v>-222899.1</v>
      </c>
    </row>
    <row r="846" spans="1:10" x14ac:dyDescent="0.3">
      <c r="A846">
        <v>1050</v>
      </c>
      <c r="B846" s="1">
        <v>45125</v>
      </c>
      <c r="C846" t="s">
        <v>38</v>
      </c>
      <c r="D846" t="s">
        <v>25</v>
      </c>
      <c r="E846">
        <v>6107.78</v>
      </c>
      <c r="F846">
        <v>43</v>
      </c>
      <c r="G846" t="s">
        <v>16</v>
      </c>
      <c r="H846">
        <v>4834.47</v>
      </c>
      <c r="I846">
        <v>4973.38</v>
      </c>
      <c r="J846">
        <f>Table2[[#This Row],[Sales_Amount]]-(Table2[[#This Row],[Quantity_Sold]]*Table2[[#This Row],[Unit_Cost]])</f>
        <v>-201774.43000000002</v>
      </c>
    </row>
    <row r="847" spans="1:10" x14ac:dyDescent="0.3">
      <c r="A847">
        <v>1012</v>
      </c>
      <c r="B847" s="1">
        <v>45275</v>
      </c>
      <c r="C847" t="s">
        <v>14</v>
      </c>
      <c r="D847" t="s">
        <v>21</v>
      </c>
      <c r="E847">
        <v>8821.6299999999992</v>
      </c>
      <c r="F847">
        <v>13</v>
      </c>
      <c r="G847" t="s">
        <v>35</v>
      </c>
      <c r="H847">
        <v>2231.66</v>
      </c>
      <c r="I847">
        <v>2596.6099999999901</v>
      </c>
      <c r="J847">
        <f>Table2[[#This Row],[Sales_Amount]]-(Table2[[#This Row],[Quantity_Sold]]*Table2[[#This Row],[Unit_Cost]])</f>
        <v>-20189.949999999997</v>
      </c>
    </row>
    <row r="848" spans="1:10" x14ac:dyDescent="0.3">
      <c r="A848">
        <v>1065</v>
      </c>
      <c r="B848" s="1">
        <v>45107</v>
      </c>
      <c r="C848" t="s">
        <v>38</v>
      </c>
      <c r="D848" t="s">
        <v>25</v>
      </c>
      <c r="E848">
        <v>8840.86</v>
      </c>
      <c r="F848">
        <v>13</v>
      </c>
      <c r="G848" t="s">
        <v>16</v>
      </c>
      <c r="H848">
        <v>1339</v>
      </c>
      <c r="I848">
        <v>1441.88</v>
      </c>
      <c r="J848">
        <f>Table2[[#This Row],[Sales_Amount]]-(Table2[[#This Row],[Quantity_Sold]]*Table2[[#This Row],[Unit_Cost]])</f>
        <v>-8566.14</v>
      </c>
    </row>
    <row r="849" spans="1:10" x14ac:dyDescent="0.3">
      <c r="A849">
        <v>1054</v>
      </c>
      <c r="B849" s="1">
        <v>44950</v>
      </c>
      <c r="C849" t="s">
        <v>14</v>
      </c>
      <c r="D849" t="s">
        <v>34</v>
      </c>
      <c r="E849">
        <v>6624.55</v>
      </c>
      <c r="F849">
        <v>22</v>
      </c>
      <c r="G849" t="s">
        <v>35</v>
      </c>
      <c r="H849">
        <v>4200.08</v>
      </c>
      <c r="I849">
        <v>4647.28</v>
      </c>
      <c r="J849">
        <f>Table2[[#This Row],[Sales_Amount]]-(Table2[[#This Row],[Quantity_Sold]]*Table2[[#This Row],[Unit_Cost]])</f>
        <v>-85777.209999999992</v>
      </c>
    </row>
    <row r="850" spans="1:10" x14ac:dyDescent="0.3">
      <c r="A850">
        <v>1005</v>
      </c>
      <c r="B850" s="1">
        <v>45242</v>
      </c>
      <c r="C850" t="s">
        <v>38</v>
      </c>
      <c r="D850" t="s">
        <v>34</v>
      </c>
      <c r="E850">
        <v>2191.1999999999998</v>
      </c>
      <c r="F850">
        <v>28</v>
      </c>
      <c r="G850" t="s">
        <v>29</v>
      </c>
      <c r="H850">
        <v>3592.32</v>
      </c>
      <c r="I850">
        <v>3813.48</v>
      </c>
      <c r="J850">
        <f>Table2[[#This Row],[Sales_Amount]]-(Table2[[#This Row],[Quantity_Sold]]*Table2[[#This Row],[Unit_Cost]])</f>
        <v>-98393.760000000009</v>
      </c>
    </row>
    <row r="851" spans="1:10" x14ac:dyDescent="0.3">
      <c r="A851">
        <v>1094</v>
      </c>
      <c r="B851" s="1">
        <v>44972</v>
      </c>
      <c r="C851" t="s">
        <v>33</v>
      </c>
      <c r="D851" t="s">
        <v>25</v>
      </c>
      <c r="E851">
        <v>8643.67</v>
      </c>
      <c r="F851">
        <v>47</v>
      </c>
      <c r="G851" t="s">
        <v>26</v>
      </c>
      <c r="H851">
        <v>3450.36</v>
      </c>
      <c r="I851">
        <v>3557.38</v>
      </c>
      <c r="J851">
        <f>Table2[[#This Row],[Sales_Amount]]-(Table2[[#This Row],[Quantity_Sold]]*Table2[[#This Row],[Unit_Cost]])</f>
        <v>-153523.25</v>
      </c>
    </row>
    <row r="852" spans="1:10" x14ac:dyDescent="0.3">
      <c r="A852">
        <v>1094</v>
      </c>
      <c r="B852" s="1">
        <v>44941</v>
      </c>
      <c r="C852" t="s">
        <v>14</v>
      </c>
      <c r="D852" t="s">
        <v>15</v>
      </c>
      <c r="E852">
        <v>8872.33</v>
      </c>
      <c r="F852">
        <v>45</v>
      </c>
      <c r="G852" t="s">
        <v>16</v>
      </c>
      <c r="H852">
        <v>4470.91</v>
      </c>
      <c r="I852">
        <v>4695.54</v>
      </c>
      <c r="J852">
        <f>Table2[[#This Row],[Sales_Amount]]-(Table2[[#This Row],[Quantity_Sold]]*Table2[[#This Row],[Unit_Cost]])</f>
        <v>-192318.62</v>
      </c>
    </row>
    <row r="853" spans="1:10" x14ac:dyDescent="0.3">
      <c r="A853">
        <v>1057</v>
      </c>
      <c r="B853" s="1">
        <v>45079</v>
      </c>
      <c r="C853" t="s">
        <v>38</v>
      </c>
      <c r="D853" t="s">
        <v>34</v>
      </c>
      <c r="E853">
        <v>2046.87</v>
      </c>
      <c r="F853">
        <v>22</v>
      </c>
      <c r="G853" t="s">
        <v>26</v>
      </c>
      <c r="H853">
        <v>3462.61</v>
      </c>
      <c r="I853">
        <v>3672.89</v>
      </c>
      <c r="J853">
        <f>Table2[[#This Row],[Sales_Amount]]-(Table2[[#This Row],[Quantity_Sold]]*Table2[[#This Row],[Unit_Cost]])</f>
        <v>-74130.55</v>
      </c>
    </row>
    <row r="854" spans="1:10" x14ac:dyDescent="0.3">
      <c r="A854">
        <v>1017</v>
      </c>
      <c r="B854" s="1">
        <v>45148</v>
      </c>
      <c r="C854" t="s">
        <v>42</v>
      </c>
      <c r="D854" t="s">
        <v>15</v>
      </c>
      <c r="E854">
        <v>7400.52</v>
      </c>
      <c r="F854">
        <v>43</v>
      </c>
      <c r="G854" t="s">
        <v>16</v>
      </c>
      <c r="H854">
        <v>1454.8</v>
      </c>
      <c r="I854">
        <v>1674.97</v>
      </c>
      <c r="J854">
        <f>Table2[[#This Row],[Sales_Amount]]-(Table2[[#This Row],[Quantity_Sold]]*Table2[[#This Row],[Unit_Cost]])</f>
        <v>-55155.880000000005</v>
      </c>
    </row>
    <row r="855" spans="1:10" x14ac:dyDescent="0.3">
      <c r="A855">
        <v>1047</v>
      </c>
      <c r="B855" s="1">
        <v>45132</v>
      </c>
      <c r="C855" t="s">
        <v>33</v>
      </c>
      <c r="D855" t="s">
        <v>34</v>
      </c>
      <c r="E855">
        <v>2936.54</v>
      </c>
      <c r="F855">
        <v>19</v>
      </c>
      <c r="G855" t="s">
        <v>16</v>
      </c>
      <c r="H855">
        <v>3484.62</v>
      </c>
      <c r="I855">
        <v>3781.5499999999902</v>
      </c>
      <c r="J855">
        <f>Table2[[#This Row],[Sales_Amount]]-(Table2[[#This Row],[Quantity_Sold]]*Table2[[#This Row],[Unit_Cost]])</f>
        <v>-63271.24</v>
      </c>
    </row>
    <row r="856" spans="1:10" x14ac:dyDescent="0.3">
      <c r="A856">
        <v>1023</v>
      </c>
      <c r="B856" s="1">
        <v>45199</v>
      </c>
      <c r="C856" t="s">
        <v>33</v>
      </c>
      <c r="D856" t="s">
        <v>15</v>
      </c>
      <c r="E856">
        <v>8046.14</v>
      </c>
      <c r="F856">
        <v>8</v>
      </c>
      <c r="G856" t="s">
        <v>16</v>
      </c>
      <c r="H856">
        <v>1563.78</v>
      </c>
      <c r="I856">
        <v>1829.1599999999901</v>
      </c>
      <c r="J856">
        <f>Table2[[#This Row],[Sales_Amount]]-(Table2[[#This Row],[Quantity_Sold]]*Table2[[#This Row],[Unit_Cost]])</f>
        <v>-4464.0999999999995</v>
      </c>
    </row>
    <row r="857" spans="1:10" x14ac:dyDescent="0.3">
      <c r="A857">
        <v>1079</v>
      </c>
      <c r="B857" s="1">
        <v>45162</v>
      </c>
      <c r="C857" t="s">
        <v>42</v>
      </c>
      <c r="D857" t="s">
        <v>15</v>
      </c>
      <c r="E857">
        <v>9972.66</v>
      </c>
      <c r="F857">
        <v>8</v>
      </c>
      <c r="G857" t="s">
        <v>29</v>
      </c>
      <c r="H857">
        <v>3808.23</v>
      </c>
      <c r="I857">
        <v>3891.62</v>
      </c>
      <c r="J857">
        <f>Table2[[#This Row],[Sales_Amount]]-(Table2[[#This Row],[Quantity_Sold]]*Table2[[#This Row],[Unit_Cost]])</f>
        <v>-20493.18</v>
      </c>
    </row>
    <row r="858" spans="1:10" x14ac:dyDescent="0.3">
      <c r="A858">
        <v>1085</v>
      </c>
      <c r="B858" s="1">
        <v>45266</v>
      </c>
      <c r="C858" t="s">
        <v>38</v>
      </c>
      <c r="D858" t="s">
        <v>15</v>
      </c>
      <c r="E858">
        <v>397.26</v>
      </c>
      <c r="F858">
        <v>42</v>
      </c>
      <c r="G858" t="s">
        <v>35</v>
      </c>
      <c r="H858">
        <v>3117.75</v>
      </c>
      <c r="I858">
        <v>3159.88</v>
      </c>
      <c r="J858">
        <f>Table2[[#This Row],[Sales_Amount]]-(Table2[[#This Row],[Quantity_Sold]]*Table2[[#This Row],[Unit_Cost]])</f>
        <v>-130548.24</v>
      </c>
    </row>
    <row r="859" spans="1:10" x14ac:dyDescent="0.3">
      <c r="A859">
        <v>1014</v>
      </c>
      <c r="B859" s="1">
        <v>45154</v>
      </c>
      <c r="C859" t="s">
        <v>24</v>
      </c>
      <c r="D859" t="s">
        <v>25</v>
      </c>
      <c r="E859">
        <v>8983.92</v>
      </c>
      <c r="F859">
        <v>26</v>
      </c>
      <c r="G859" t="s">
        <v>16</v>
      </c>
      <c r="H859">
        <v>433.19</v>
      </c>
      <c r="I859">
        <v>800.6</v>
      </c>
      <c r="J859">
        <f>Table2[[#This Row],[Sales_Amount]]-(Table2[[#This Row],[Quantity_Sold]]*Table2[[#This Row],[Unit_Cost]])</f>
        <v>-2279.0200000000004</v>
      </c>
    </row>
    <row r="860" spans="1:10" x14ac:dyDescent="0.3">
      <c r="A860">
        <v>1066</v>
      </c>
      <c r="B860" s="1">
        <v>44935</v>
      </c>
      <c r="C860" t="s">
        <v>42</v>
      </c>
      <c r="D860" t="s">
        <v>15</v>
      </c>
      <c r="E860">
        <v>6264.04</v>
      </c>
      <c r="F860">
        <v>48</v>
      </c>
      <c r="G860" t="s">
        <v>29</v>
      </c>
      <c r="H860">
        <v>2588.54</v>
      </c>
      <c r="I860">
        <v>2872.8</v>
      </c>
      <c r="J860">
        <f>Table2[[#This Row],[Sales_Amount]]-(Table2[[#This Row],[Quantity_Sold]]*Table2[[#This Row],[Unit_Cost]])</f>
        <v>-117985.88</v>
      </c>
    </row>
    <row r="861" spans="1:10" x14ac:dyDescent="0.3">
      <c r="A861">
        <v>1075</v>
      </c>
      <c r="B861" s="1">
        <v>45092</v>
      </c>
      <c r="C861" t="s">
        <v>38</v>
      </c>
      <c r="D861" t="s">
        <v>15</v>
      </c>
      <c r="E861">
        <v>9736.49</v>
      </c>
      <c r="F861">
        <v>26</v>
      </c>
      <c r="G861" t="s">
        <v>16</v>
      </c>
      <c r="H861">
        <v>1749.34</v>
      </c>
      <c r="I861">
        <v>1935.25</v>
      </c>
      <c r="J861">
        <f>Table2[[#This Row],[Sales_Amount]]-(Table2[[#This Row],[Quantity_Sold]]*Table2[[#This Row],[Unit_Cost]])</f>
        <v>-35746.35</v>
      </c>
    </row>
    <row r="862" spans="1:10" x14ac:dyDescent="0.3">
      <c r="A862">
        <v>1051</v>
      </c>
      <c r="B862" s="1">
        <v>45245</v>
      </c>
      <c r="C862" t="s">
        <v>42</v>
      </c>
      <c r="D862" t="s">
        <v>15</v>
      </c>
      <c r="E862">
        <v>4703.59</v>
      </c>
      <c r="F862">
        <v>23</v>
      </c>
      <c r="G862" t="s">
        <v>35</v>
      </c>
      <c r="H862">
        <v>1676.42</v>
      </c>
      <c r="I862">
        <v>2082.52</v>
      </c>
      <c r="J862">
        <f>Table2[[#This Row],[Sales_Amount]]-(Table2[[#This Row],[Quantity_Sold]]*Table2[[#This Row],[Unit_Cost]])</f>
        <v>-33854.070000000007</v>
      </c>
    </row>
    <row r="863" spans="1:10" x14ac:dyDescent="0.3">
      <c r="A863">
        <v>1038</v>
      </c>
      <c r="B863" s="1">
        <v>45140</v>
      </c>
      <c r="C863" t="s">
        <v>42</v>
      </c>
      <c r="D863" t="s">
        <v>34</v>
      </c>
      <c r="E863">
        <v>8489.14</v>
      </c>
      <c r="F863">
        <v>43</v>
      </c>
      <c r="G863" t="s">
        <v>16</v>
      </c>
      <c r="H863">
        <v>3031.17</v>
      </c>
      <c r="I863">
        <v>3231.32</v>
      </c>
      <c r="J863">
        <f>Table2[[#This Row],[Sales_Amount]]-(Table2[[#This Row],[Quantity_Sold]]*Table2[[#This Row],[Unit_Cost]])</f>
        <v>-121851.17</v>
      </c>
    </row>
    <row r="864" spans="1:10" x14ac:dyDescent="0.3">
      <c r="A864">
        <v>1064</v>
      </c>
      <c r="B864" s="1">
        <v>45043</v>
      </c>
      <c r="C864" t="s">
        <v>14</v>
      </c>
      <c r="D864" t="s">
        <v>15</v>
      </c>
      <c r="E864">
        <v>717.7</v>
      </c>
      <c r="F864">
        <v>13</v>
      </c>
      <c r="G864" t="s">
        <v>29</v>
      </c>
      <c r="H864">
        <v>1645.51</v>
      </c>
      <c r="I864">
        <v>2045.53</v>
      </c>
      <c r="J864">
        <f>Table2[[#This Row],[Sales_Amount]]-(Table2[[#This Row],[Quantity_Sold]]*Table2[[#This Row],[Unit_Cost]])</f>
        <v>-20673.93</v>
      </c>
    </row>
    <row r="865" spans="1:10" x14ac:dyDescent="0.3">
      <c r="A865">
        <v>1098</v>
      </c>
      <c r="B865" s="1">
        <v>45270</v>
      </c>
      <c r="C865" t="s">
        <v>38</v>
      </c>
      <c r="D865" t="s">
        <v>34</v>
      </c>
      <c r="E865">
        <v>3419.26</v>
      </c>
      <c r="F865">
        <v>28</v>
      </c>
      <c r="G865" t="s">
        <v>35</v>
      </c>
      <c r="H865">
        <v>3895.62</v>
      </c>
      <c r="I865">
        <v>4055.44</v>
      </c>
      <c r="J865">
        <f>Table2[[#This Row],[Sales_Amount]]-(Table2[[#This Row],[Quantity_Sold]]*Table2[[#This Row],[Unit_Cost]])</f>
        <v>-105658.1</v>
      </c>
    </row>
    <row r="866" spans="1:10" x14ac:dyDescent="0.3">
      <c r="A866">
        <v>1038</v>
      </c>
      <c r="B866" s="1">
        <v>44998</v>
      </c>
      <c r="C866" t="s">
        <v>24</v>
      </c>
      <c r="D866" t="s">
        <v>15</v>
      </c>
      <c r="E866">
        <v>763.46</v>
      </c>
      <c r="F866">
        <v>9</v>
      </c>
      <c r="G866" t="s">
        <v>29</v>
      </c>
      <c r="H866">
        <v>400.42</v>
      </c>
      <c r="I866">
        <v>446.11</v>
      </c>
      <c r="J866">
        <f>Table2[[#This Row],[Sales_Amount]]-(Table2[[#This Row],[Quantity_Sold]]*Table2[[#This Row],[Unit_Cost]])</f>
        <v>-2840.32</v>
      </c>
    </row>
    <row r="867" spans="1:10" x14ac:dyDescent="0.3">
      <c r="A867">
        <v>1050</v>
      </c>
      <c r="B867" s="1">
        <v>44990</v>
      </c>
      <c r="C867" t="s">
        <v>14</v>
      </c>
      <c r="D867" t="s">
        <v>15</v>
      </c>
      <c r="E867">
        <v>9755.9</v>
      </c>
      <c r="F867">
        <v>20</v>
      </c>
      <c r="G867" t="s">
        <v>35</v>
      </c>
      <c r="H867">
        <v>3318.92</v>
      </c>
      <c r="I867">
        <v>3785.91</v>
      </c>
      <c r="J867">
        <f>Table2[[#This Row],[Sales_Amount]]-(Table2[[#This Row],[Quantity_Sold]]*Table2[[#This Row],[Unit_Cost]])</f>
        <v>-56622.499999999993</v>
      </c>
    </row>
    <row r="868" spans="1:10" x14ac:dyDescent="0.3">
      <c r="A868">
        <v>1098</v>
      </c>
      <c r="B868" s="1">
        <v>45131</v>
      </c>
      <c r="C868" t="s">
        <v>42</v>
      </c>
      <c r="D868" t="s">
        <v>25</v>
      </c>
      <c r="E868">
        <v>8188.04</v>
      </c>
      <c r="F868">
        <v>19</v>
      </c>
      <c r="G868" t="s">
        <v>35</v>
      </c>
      <c r="H868">
        <v>4055.51</v>
      </c>
      <c r="I868">
        <v>4258.84</v>
      </c>
      <c r="J868">
        <f>Table2[[#This Row],[Sales_Amount]]-(Table2[[#This Row],[Quantity_Sold]]*Table2[[#This Row],[Unit_Cost]])</f>
        <v>-68866.650000000009</v>
      </c>
    </row>
    <row r="869" spans="1:10" x14ac:dyDescent="0.3">
      <c r="A869">
        <v>1082</v>
      </c>
      <c r="B869" s="1">
        <v>45135</v>
      </c>
      <c r="C869" t="s">
        <v>42</v>
      </c>
      <c r="D869" t="s">
        <v>34</v>
      </c>
      <c r="E869">
        <v>8540.2199999999993</v>
      </c>
      <c r="F869">
        <v>48</v>
      </c>
      <c r="G869" t="s">
        <v>26</v>
      </c>
      <c r="H869">
        <v>3380.52</v>
      </c>
      <c r="I869">
        <v>3778.94</v>
      </c>
      <c r="J869">
        <f>Table2[[#This Row],[Sales_Amount]]-(Table2[[#This Row],[Quantity_Sold]]*Table2[[#This Row],[Unit_Cost]])</f>
        <v>-153724.74</v>
      </c>
    </row>
    <row r="870" spans="1:10" x14ac:dyDescent="0.3">
      <c r="A870">
        <v>1030</v>
      </c>
      <c r="B870" s="1">
        <v>44998</v>
      </c>
      <c r="C870" t="s">
        <v>42</v>
      </c>
      <c r="D870" t="s">
        <v>15</v>
      </c>
      <c r="E870">
        <v>9385.86</v>
      </c>
      <c r="F870">
        <v>39</v>
      </c>
      <c r="G870" t="s">
        <v>26</v>
      </c>
      <c r="H870">
        <v>2511.2800000000002</v>
      </c>
      <c r="I870">
        <v>2658.06</v>
      </c>
      <c r="J870">
        <f>Table2[[#This Row],[Sales_Amount]]-(Table2[[#This Row],[Quantity_Sold]]*Table2[[#This Row],[Unit_Cost]])</f>
        <v>-88554.060000000012</v>
      </c>
    </row>
    <row r="871" spans="1:10" x14ac:dyDescent="0.3">
      <c r="A871">
        <v>1079</v>
      </c>
      <c r="B871" s="1">
        <v>45203</v>
      </c>
      <c r="C871" t="s">
        <v>38</v>
      </c>
      <c r="D871" t="s">
        <v>34</v>
      </c>
      <c r="E871">
        <v>942.52</v>
      </c>
      <c r="F871">
        <v>12</v>
      </c>
      <c r="G871" t="s">
        <v>26</v>
      </c>
      <c r="H871">
        <v>4754.0200000000004</v>
      </c>
      <c r="I871">
        <v>5080.74</v>
      </c>
      <c r="J871">
        <f>Table2[[#This Row],[Sales_Amount]]-(Table2[[#This Row],[Quantity_Sold]]*Table2[[#This Row],[Unit_Cost]])</f>
        <v>-56105.720000000008</v>
      </c>
    </row>
    <row r="872" spans="1:10" x14ac:dyDescent="0.3">
      <c r="A872">
        <v>1091</v>
      </c>
      <c r="B872" s="1">
        <v>45200</v>
      </c>
      <c r="C872" t="s">
        <v>38</v>
      </c>
      <c r="D872" t="s">
        <v>34</v>
      </c>
      <c r="E872">
        <v>3917.42</v>
      </c>
      <c r="F872">
        <v>15</v>
      </c>
      <c r="G872" t="s">
        <v>35</v>
      </c>
      <c r="H872">
        <v>1534.7</v>
      </c>
      <c r="I872">
        <v>1972.62</v>
      </c>
      <c r="J872">
        <f>Table2[[#This Row],[Sales_Amount]]-(Table2[[#This Row],[Quantity_Sold]]*Table2[[#This Row],[Unit_Cost]])</f>
        <v>-19103.080000000002</v>
      </c>
    </row>
    <row r="873" spans="1:10" x14ac:dyDescent="0.3">
      <c r="A873">
        <v>1051</v>
      </c>
      <c r="B873" s="1">
        <v>45246</v>
      </c>
      <c r="C873" t="s">
        <v>14</v>
      </c>
      <c r="D873" t="s">
        <v>21</v>
      </c>
      <c r="E873">
        <v>803.25</v>
      </c>
      <c r="F873">
        <v>31</v>
      </c>
      <c r="G873" t="s">
        <v>16</v>
      </c>
      <c r="H873">
        <v>144.88</v>
      </c>
      <c r="I873">
        <v>175.29</v>
      </c>
      <c r="J873">
        <f>Table2[[#This Row],[Sales_Amount]]-(Table2[[#This Row],[Quantity_Sold]]*Table2[[#This Row],[Unit_Cost]])</f>
        <v>-3688.0299999999997</v>
      </c>
    </row>
    <row r="874" spans="1:10" x14ac:dyDescent="0.3">
      <c r="A874">
        <v>1063</v>
      </c>
      <c r="B874" s="1">
        <v>45264</v>
      </c>
      <c r="C874" t="s">
        <v>24</v>
      </c>
      <c r="D874" t="s">
        <v>25</v>
      </c>
      <c r="E874">
        <v>2186.85</v>
      </c>
      <c r="F874">
        <v>14</v>
      </c>
      <c r="G874" t="s">
        <v>29</v>
      </c>
      <c r="H874">
        <v>2188.35</v>
      </c>
      <c r="I874">
        <v>2605.3599999999901</v>
      </c>
      <c r="J874">
        <f>Table2[[#This Row],[Sales_Amount]]-(Table2[[#This Row],[Quantity_Sold]]*Table2[[#This Row],[Unit_Cost]])</f>
        <v>-28450.05</v>
      </c>
    </row>
    <row r="875" spans="1:10" x14ac:dyDescent="0.3">
      <c r="A875">
        <v>1098</v>
      </c>
      <c r="B875" s="1">
        <v>45292</v>
      </c>
      <c r="C875" t="s">
        <v>14</v>
      </c>
      <c r="D875" t="s">
        <v>25</v>
      </c>
      <c r="E875">
        <v>2370.7199999999998</v>
      </c>
      <c r="F875">
        <v>11</v>
      </c>
      <c r="G875" t="s">
        <v>29</v>
      </c>
      <c r="H875">
        <v>213.41</v>
      </c>
      <c r="I875">
        <v>503.36</v>
      </c>
      <c r="J875">
        <f>Table2[[#This Row],[Sales_Amount]]-(Table2[[#This Row],[Quantity_Sold]]*Table2[[#This Row],[Unit_Cost]])</f>
        <v>23.210000000000036</v>
      </c>
    </row>
    <row r="876" spans="1:10" x14ac:dyDescent="0.3">
      <c r="A876">
        <v>1052</v>
      </c>
      <c r="B876" s="1">
        <v>45021</v>
      </c>
      <c r="C876" t="s">
        <v>33</v>
      </c>
      <c r="D876" t="s">
        <v>25</v>
      </c>
      <c r="E876">
        <v>4744.16</v>
      </c>
      <c r="F876">
        <v>26</v>
      </c>
      <c r="G876" t="s">
        <v>29</v>
      </c>
      <c r="H876">
        <v>4771.99</v>
      </c>
      <c r="I876">
        <v>5079.6499999999996</v>
      </c>
      <c r="J876">
        <f>Table2[[#This Row],[Sales_Amount]]-(Table2[[#This Row],[Quantity_Sold]]*Table2[[#This Row],[Unit_Cost]])</f>
        <v>-119327.57999999999</v>
      </c>
    </row>
    <row r="877" spans="1:10" x14ac:dyDescent="0.3">
      <c r="A877">
        <v>1038</v>
      </c>
      <c r="B877" s="1">
        <v>45092</v>
      </c>
      <c r="C877" t="s">
        <v>42</v>
      </c>
      <c r="D877" t="s">
        <v>21</v>
      </c>
      <c r="E877">
        <v>2758.77</v>
      </c>
      <c r="F877">
        <v>42</v>
      </c>
      <c r="G877" t="s">
        <v>26</v>
      </c>
      <c r="H877">
        <v>1089.0899999999999</v>
      </c>
      <c r="I877">
        <v>1355.44</v>
      </c>
      <c r="J877">
        <f>Table2[[#This Row],[Sales_Amount]]-(Table2[[#This Row],[Quantity_Sold]]*Table2[[#This Row],[Unit_Cost]])</f>
        <v>-42983.01</v>
      </c>
    </row>
    <row r="878" spans="1:10" x14ac:dyDescent="0.3">
      <c r="A878">
        <v>1097</v>
      </c>
      <c r="B878" s="1">
        <v>44958</v>
      </c>
      <c r="C878" t="s">
        <v>42</v>
      </c>
      <c r="D878" t="s">
        <v>21</v>
      </c>
      <c r="E878">
        <v>1099.68</v>
      </c>
      <c r="F878">
        <v>27</v>
      </c>
      <c r="G878" t="s">
        <v>35</v>
      </c>
      <c r="H878">
        <v>3955.19</v>
      </c>
      <c r="I878">
        <v>4393.68</v>
      </c>
      <c r="J878">
        <f>Table2[[#This Row],[Sales_Amount]]-(Table2[[#This Row],[Quantity_Sold]]*Table2[[#This Row],[Unit_Cost]])</f>
        <v>-105690.45000000001</v>
      </c>
    </row>
    <row r="879" spans="1:10" x14ac:dyDescent="0.3">
      <c r="A879">
        <v>1088</v>
      </c>
      <c r="B879" s="1">
        <v>44937</v>
      </c>
      <c r="C879" t="s">
        <v>42</v>
      </c>
      <c r="D879" t="s">
        <v>25</v>
      </c>
      <c r="E879">
        <v>1758.16</v>
      </c>
      <c r="F879">
        <v>11</v>
      </c>
      <c r="G879" t="s">
        <v>26</v>
      </c>
      <c r="H879">
        <v>3884.13</v>
      </c>
      <c r="I879">
        <v>3915.41</v>
      </c>
      <c r="J879">
        <f>Table2[[#This Row],[Sales_Amount]]-(Table2[[#This Row],[Quantity_Sold]]*Table2[[#This Row],[Unit_Cost]])</f>
        <v>-40967.269999999997</v>
      </c>
    </row>
    <row r="880" spans="1:10" x14ac:dyDescent="0.3">
      <c r="A880">
        <v>1079</v>
      </c>
      <c r="B880" s="1">
        <v>45227</v>
      </c>
      <c r="C880" t="s">
        <v>14</v>
      </c>
      <c r="D880" t="s">
        <v>21</v>
      </c>
      <c r="E880">
        <v>1558.03</v>
      </c>
      <c r="F880">
        <v>38</v>
      </c>
      <c r="G880" t="s">
        <v>16</v>
      </c>
      <c r="H880">
        <v>1127.76</v>
      </c>
      <c r="I880">
        <v>1265.6600000000001</v>
      </c>
      <c r="J880">
        <f>Table2[[#This Row],[Sales_Amount]]-(Table2[[#This Row],[Quantity_Sold]]*Table2[[#This Row],[Unit_Cost]])</f>
        <v>-41296.85</v>
      </c>
    </row>
    <row r="881" spans="1:10" x14ac:dyDescent="0.3">
      <c r="A881">
        <v>1030</v>
      </c>
      <c r="B881" s="1">
        <v>45143</v>
      </c>
      <c r="C881" t="s">
        <v>14</v>
      </c>
      <c r="D881" t="s">
        <v>21</v>
      </c>
      <c r="E881">
        <v>9733.4599999999991</v>
      </c>
      <c r="F881">
        <v>34</v>
      </c>
      <c r="G881" t="s">
        <v>35</v>
      </c>
      <c r="H881">
        <v>3125.07</v>
      </c>
      <c r="I881">
        <v>3564.19</v>
      </c>
      <c r="J881">
        <f>Table2[[#This Row],[Sales_Amount]]-(Table2[[#This Row],[Quantity_Sold]]*Table2[[#This Row],[Unit_Cost]])</f>
        <v>-96518.920000000013</v>
      </c>
    </row>
    <row r="882" spans="1:10" x14ac:dyDescent="0.3">
      <c r="A882">
        <v>1051</v>
      </c>
      <c r="B882" s="1">
        <v>45215</v>
      </c>
      <c r="C882" t="s">
        <v>42</v>
      </c>
      <c r="D882" t="s">
        <v>21</v>
      </c>
      <c r="E882">
        <v>7617</v>
      </c>
      <c r="F882">
        <v>43</v>
      </c>
      <c r="G882" t="s">
        <v>29</v>
      </c>
      <c r="H882">
        <v>287.99</v>
      </c>
      <c r="I882">
        <v>666.64</v>
      </c>
      <c r="J882">
        <f>Table2[[#This Row],[Sales_Amount]]-(Table2[[#This Row],[Quantity_Sold]]*Table2[[#This Row],[Unit_Cost]])</f>
        <v>-4766.57</v>
      </c>
    </row>
    <row r="883" spans="1:10" x14ac:dyDescent="0.3">
      <c r="A883">
        <v>1081</v>
      </c>
      <c r="B883" s="1">
        <v>45028</v>
      </c>
      <c r="C883" t="s">
        <v>14</v>
      </c>
      <c r="D883" t="s">
        <v>25</v>
      </c>
      <c r="E883">
        <v>9680.84</v>
      </c>
      <c r="F883">
        <v>19</v>
      </c>
      <c r="G883" t="s">
        <v>26</v>
      </c>
      <c r="H883">
        <v>2443.69</v>
      </c>
      <c r="I883">
        <v>2462.34</v>
      </c>
      <c r="J883">
        <f>Table2[[#This Row],[Sales_Amount]]-(Table2[[#This Row],[Quantity_Sold]]*Table2[[#This Row],[Unit_Cost]])</f>
        <v>-36749.270000000004</v>
      </c>
    </row>
    <row r="884" spans="1:10" x14ac:dyDescent="0.3">
      <c r="A884">
        <v>1005</v>
      </c>
      <c r="B884" s="1">
        <v>45193</v>
      </c>
      <c r="C884" t="s">
        <v>38</v>
      </c>
      <c r="D884" t="s">
        <v>25</v>
      </c>
      <c r="E884">
        <v>4453.43</v>
      </c>
      <c r="F884">
        <v>6</v>
      </c>
      <c r="G884" t="s">
        <v>26</v>
      </c>
      <c r="H884">
        <v>122.5</v>
      </c>
      <c r="I884">
        <v>385.83</v>
      </c>
      <c r="J884">
        <f>Table2[[#This Row],[Sales_Amount]]-(Table2[[#This Row],[Quantity_Sold]]*Table2[[#This Row],[Unit_Cost]])</f>
        <v>3718.4300000000003</v>
      </c>
    </row>
    <row r="885" spans="1:10" x14ac:dyDescent="0.3">
      <c r="A885">
        <v>1029</v>
      </c>
      <c r="B885" s="1">
        <v>45140</v>
      </c>
      <c r="C885" t="s">
        <v>38</v>
      </c>
      <c r="D885" t="s">
        <v>25</v>
      </c>
      <c r="E885">
        <v>2855.85</v>
      </c>
      <c r="F885">
        <v>46</v>
      </c>
      <c r="G885" t="s">
        <v>16</v>
      </c>
      <c r="H885">
        <v>4609.66</v>
      </c>
      <c r="I885">
        <v>4879.1499999999996</v>
      </c>
      <c r="J885">
        <f>Table2[[#This Row],[Sales_Amount]]-(Table2[[#This Row],[Quantity_Sold]]*Table2[[#This Row],[Unit_Cost]])</f>
        <v>-209188.50999999998</v>
      </c>
    </row>
    <row r="886" spans="1:10" x14ac:dyDescent="0.3">
      <c r="A886">
        <v>1004</v>
      </c>
      <c r="B886" s="1">
        <v>45105</v>
      </c>
      <c r="C886" t="s">
        <v>14</v>
      </c>
      <c r="D886" t="s">
        <v>21</v>
      </c>
      <c r="E886">
        <v>8003.1</v>
      </c>
      <c r="F886">
        <v>38</v>
      </c>
      <c r="G886" t="s">
        <v>16</v>
      </c>
      <c r="H886">
        <v>4881.63</v>
      </c>
      <c r="I886">
        <v>5088.0600000000004</v>
      </c>
      <c r="J886">
        <f>Table2[[#This Row],[Sales_Amount]]-(Table2[[#This Row],[Quantity_Sold]]*Table2[[#This Row],[Unit_Cost]])</f>
        <v>-177498.84</v>
      </c>
    </row>
    <row r="887" spans="1:10" x14ac:dyDescent="0.3">
      <c r="A887">
        <v>1010</v>
      </c>
      <c r="B887" s="1">
        <v>45014</v>
      </c>
      <c r="C887" t="s">
        <v>42</v>
      </c>
      <c r="D887" t="s">
        <v>25</v>
      </c>
      <c r="E887">
        <v>3329.91</v>
      </c>
      <c r="F887">
        <v>49</v>
      </c>
      <c r="G887" t="s">
        <v>26</v>
      </c>
      <c r="H887">
        <v>1150.3</v>
      </c>
      <c r="I887">
        <v>1306.02</v>
      </c>
      <c r="J887">
        <f>Table2[[#This Row],[Sales_Amount]]-(Table2[[#This Row],[Quantity_Sold]]*Table2[[#This Row],[Unit_Cost]])</f>
        <v>-53034.789999999994</v>
      </c>
    </row>
    <row r="888" spans="1:10" x14ac:dyDescent="0.3">
      <c r="A888">
        <v>1056</v>
      </c>
      <c r="B888" s="1">
        <v>44967</v>
      </c>
      <c r="C888" t="s">
        <v>14</v>
      </c>
      <c r="D888" t="s">
        <v>21</v>
      </c>
      <c r="E888">
        <v>3063.9</v>
      </c>
      <c r="F888">
        <v>42</v>
      </c>
      <c r="G888" t="s">
        <v>16</v>
      </c>
      <c r="H888">
        <v>1080.1199999999999</v>
      </c>
      <c r="I888">
        <v>1424.1699999999901</v>
      </c>
      <c r="J888">
        <f>Table2[[#This Row],[Sales_Amount]]-(Table2[[#This Row],[Quantity_Sold]]*Table2[[#This Row],[Unit_Cost]])</f>
        <v>-42301.139999999992</v>
      </c>
    </row>
    <row r="889" spans="1:10" x14ac:dyDescent="0.3">
      <c r="A889">
        <v>1017</v>
      </c>
      <c r="B889" s="1">
        <v>45002</v>
      </c>
      <c r="C889" t="s">
        <v>14</v>
      </c>
      <c r="D889" t="s">
        <v>15</v>
      </c>
      <c r="E889">
        <v>2401.81</v>
      </c>
      <c r="F889">
        <v>28</v>
      </c>
      <c r="G889" t="s">
        <v>29</v>
      </c>
      <c r="H889">
        <v>3780.91</v>
      </c>
      <c r="I889">
        <v>3892.73</v>
      </c>
      <c r="J889">
        <f>Table2[[#This Row],[Sales_Amount]]-(Table2[[#This Row],[Quantity_Sold]]*Table2[[#This Row],[Unit_Cost]])</f>
        <v>-103463.67</v>
      </c>
    </row>
    <row r="890" spans="1:10" x14ac:dyDescent="0.3">
      <c r="A890">
        <v>1074</v>
      </c>
      <c r="B890" s="1">
        <v>44972</v>
      </c>
      <c r="C890" t="s">
        <v>14</v>
      </c>
      <c r="D890" t="s">
        <v>21</v>
      </c>
      <c r="E890">
        <v>1383.82</v>
      </c>
      <c r="F890">
        <v>1</v>
      </c>
      <c r="G890" t="s">
        <v>16</v>
      </c>
      <c r="H890">
        <v>1304.23</v>
      </c>
      <c r="I890">
        <v>1705.71</v>
      </c>
      <c r="J890">
        <f>Table2[[#This Row],[Sales_Amount]]-(Table2[[#This Row],[Quantity_Sold]]*Table2[[#This Row],[Unit_Cost]])</f>
        <v>79.589999999999918</v>
      </c>
    </row>
    <row r="891" spans="1:10" x14ac:dyDescent="0.3">
      <c r="A891">
        <v>1017</v>
      </c>
      <c r="B891" s="1">
        <v>45086</v>
      </c>
      <c r="C891" t="s">
        <v>33</v>
      </c>
      <c r="D891" t="s">
        <v>34</v>
      </c>
      <c r="E891">
        <v>2638.98</v>
      </c>
      <c r="F891">
        <v>35</v>
      </c>
      <c r="G891" t="s">
        <v>16</v>
      </c>
      <c r="H891">
        <v>4480.63</v>
      </c>
      <c r="I891">
        <v>4884.12</v>
      </c>
      <c r="J891">
        <f>Table2[[#This Row],[Sales_Amount]]-(Table2[[#This Row],[Quantity_Sold]]*Table2[[#This Row],[Unit_Cost]])</f>
        <v>-154183.07</v>
      </c>
    </row>
    <row r="892" spans="1:10" x14ac:dyDescent="0.3">
      <c r="A892">
        <v>1084</v>
      </c>
      <c r="B892" s="1">
        <v>45006</v>
      </c>
      <c r="C892" t="s">
        <v>38</v>
      </c>
      <c r="D892" t="s">
        <v>25</v>
      </c>
      <c r="E892">
        <v>3617.67</v>
      </c>
      <c r="F892">
        <v>40</v>
      </c>
      <c r="G892" t="s">
        <v>26</v>
      </c>
      <c r="H892">
        <v>2890.95</v>
      </c>
      <c r="I892">
        <v>3104.43</v>
      </c>
      <c r="J892">
        <f>Table2[[#This Row],[Sales_Amount]]-(Table2[[#This Row],[Quantity_Sold]]*Table2[[#This Row],[Unit_Cost]])</f>
        <v>-112020.33</v>
      </c>
    </row>
    <row r="893" spans="1:10" x14ac:dyDescent="0.3">
      <c r="A893">
        <v>1088</v>
      </c>
      <c r="B893" s="1">
        <v>45236</v>
      </c>
      <c r="C893" t="s">
        <v>24</v>
      </c>
      <c r="D893" t="s">
        <v>25</v>
      </c>
      <c r="E893">
        <v>6772.54</v>
      </c>
      <c r="F893">
        <v>8</v>
      </c>
      <c r="G893" t="s">
        <v>26</v>
      </c>
      <c r="H893">
        <v>1786.35</v>
      </c>
      <c r="I893">
        <v>1935.29</v>
      </c>
      <c r="J893">
        <f>Table2[[#This Row],[Sales_Amount]]-(Table2[[#This Row],[Quantity_Sold]]*Table2[[#This Row],[Unit_Cost]])</f>
        <v>-7518.2599999999993</v>
      </c>
    </row>
    <row r="894" spans="1:10" x14ac:dyDescent="0.3">
      <c r="A894">
        <v>1069</v>
      </c>
      <c r="B894" s="1">
        <v>45012</v>
      </c>
      <c r="C894" t="s">
        <v>24</v>
      </c>
      <c r="D894" t="s">
        <v>34</v>
      </c>
      <c r="E894">
        <v>719.39</v>
      </c>
      <c r="F894">
        <v>47</v>
      </c>
      <c r="G894" t="s">
        <v>35</v>
      </c>
      <c r="H894">
        <v>4171.83</v>
      </c>
      <c r="I894">
        <v>4320.93</v>
      </c>
      <c r="J894">
        <f>Table2[[#This Row],[Sales_Amount]]-(Table2[[#This Row],[Quantity_Sold]]*Table2[[#This Row],[Unit_Cost]])</f>
        <v>-195356.62</v>
      </c>
    </row>
    <row r="895" spans="1:10" x14ac:dyDescent="0.3">
      <c r="A895">
        <v>1034</v>
      </c>
      <c r="B895" s="1">
        <v>45018</v>
      </c>
      <c r="C895" t="s">
        <v>33</v>
      </c>
      <c r="D895" t="s">
        <v>21</v>
      </c>
      <c r="E895">
        <v>2184.02</v>
      </c>
      <c r="F895">
        <v>7</v>
      </c>
      <c r="G895" t="s">
        <v>35</v>
      </c>
      <c r="H895">
        <v>2492.36</v>
      </c>
      <c r="I895">
        <v>2738.68</v>
      </c>
      <c r="J895">
        <f>Table2[[#This Row],[Sales_Amount]]-(Table2[[#This Row],[Quantity_Sold]]*Table2[[#This Row],[Unit_Cost]])</f>
        <v>-15262.5</v>
      </c>
    </row>
    <row r="896" spans="1:10" x14ac:dyDescent="0.3">
      <c r="A896">
        <v>1006</v>
      </c>
      <c r="B896" s="1">
        <v>45074</v>
      </c>
      <c r="C896" t="s">
        <v>14</v>
      </c>
      <c r="D896" t="s">
        <v>15</v>
      </c>
      <c r="E896">
        <v>8109.33</v>
      </c>
      <c r="F896">
        <v>11</v>
      </c>
      <c r="G896" t="s">
        <v>26</v>
      </c>
      <c r="H896">
        <v>4562.58</v>
      </c>
      <c r="I896">
        <v>4925.17</v>
      </c>
      <c r="J896">
        <f>Table2[[#This Row],[Sales_Amount]]-(Table2[[#This Row],[Quantity_Sold]]*Table2[[#This Row],[Unit_Cost]])</f>
        <v>-42079.049999999996</v>
      </c>
    </row>
    <row r="897" spans="1:10" x14ac:dyDescent="0.3">
      <c r="A897">
        <v>1053</v>
      </c>
      <c r="B897" s="1">
        <v>45087</v>
      </c>
      <c r="C897" t="s">
        <v>33</v>
      </c>
      <c r="D897" t="s">
        <v>34</v>
      </c>
      <c r="E897">
        <v>1554.53</v>
      </c>
      <c r="F897">
        <v>39</v>
      </c>
      <c r="G897" t="s">
        <v>16</v>
      </c>
      <c r="H897">
        <v>4643.67</v>
      </c>
      <c r="I897">
        <v>4829.5200000000004</v>
      </c>
      <c r="J897">
        <f>Table2[[#This Row],[Sales_Amount]]-(Table2[[#This Row],[Quantity_Sold]]*Table2[[#This Row],[Unit_Cost]])</f>
        <v>-179548.6</v>
      </c>
    </row>
    <row r="898" spans="1:10" x14ac:dyDescent="0.3">
      <c r="A898">
        <v>1066</v>
      </c>
      <c r="B898" s="1">
        <v>45128</v>
      </c>
      <c r="C898" t="s">
        <v>33</v>
      </c>
      <c r="D898" t="s">
        <v>34</v>
      </c>
      <c r="E898">
        <v>3492.19</v>
      </c>
      <c r="F898">
        <v>4</v>
      </c>
      <c r="G898" t="s">
        <v>16</v>
      </c>
      <c r="H898">
        <v>868.83</v>
      </c>
      <c r="I898">
        <v>1177.75</v>
      </c>
      <c r="J898">
        <f>Table2[[#This Row],[Sales_Amount]]-(Table2[[#This Row],[Quantity_Sold]]*Table2[[#This Row],[Unit_Cost]])</f>
        <v>16.869999999999891</v>
      </c>
    </row>
    <row r="899" spans="1:10" x14ac:dyDescent="0.3">
      <c r="A899">
        <v>1077</v>
      </c>
      <c r="B899" s="1">
        <v>45168</v>
      </c>
      <c r="C899" t="s">
        <v>42</v>
      </c>
      <c r="D899" t="s">
        <v>21</v>
      </c>
      <c r="E899">
        <v>8660.1200000000008</v>
      </c>
      <c r="F899">
        <v>25</v>
      </c>
      <c r="G899" t="s">
        <v>35</v>
      </c>
      <c r="H899">
        <v>61.5</v>
      </c>
      <c r="I899">
        <v>258.91999999999899</v>
      </c>
      <c r="J899">
        <f>Table2[[#This Row],[Sales_Amount]]-(Table2[[#This Row],[Quantity_Sold]]*Table2[[#This Row],[Unit_Cost]])</f>
        <v>7122.6200000000008</v>
      </c>
    </row>
    <row r="900" spans="1:10" x14ac:dyDescent="0.3">
      <c r="A900">
        <v>1043</v>
      </c>
      <c r="B900" s="1">
        <v>45279</v>
      </c>
      <c r="C900" t="s">
        <v>38</v>
      </c>
      <c r="D900" t="s">
        <v>25</v>
      </c>
      <c r="E900">
        <v>1633.76</v>
      </c>
      <c r="F900">
        <v>12</v>
      </c>
      <c r="G900" t="s">
        <v>35</v>
      </c>
      <c r="H900">
        <v>4920.46</v>
      </c>
      <c r="I900">
        <v>5079.68</v>
      </c>
      <c r="J900">
        <f>Table2[[#This Row],[Sales_Amount]]-(Table2[[#This Row],[Quantity_Sold]]*Table2[[#This Row],[Unit_Cost]])</f>
        <v>-57411.76</v>
      </c>
    </row>
    <row r="901" spans="1:10" x14ac:dyDescent="0.3">
      <c r="A901">
        <v>1075</v>
      </c>
      <c r="B901" s="1">
        <v>44928</v>
      </c>
      <c r="C901" t="s">
        <v>24</v>
      </c>
      <c r="D901" t="s">
        <v>21</v>
      </c>
      <c r="E901">
        <v>919.09</v>
      </c>
      <c r="F901">
        <v>26</v>
      </c>
      <c r="G901" t="s">
        <v>35</v>
      </c>
      <c r="H901">
        <v>4535.38</v>
      </c>
      <c r="I901">
        <v>4557.5600000000004</v>
      </c>
      <c r="J901">
        <f>Table2[[#This Row],[Sales_Amount]]-(Table2[[#This Row],[Quantity_Sold]]*Table2[[#This Row],[Unit_Cost]])</f>
        <v>-117000.79000000001</v>
      </c>
    </row>
    <row r="902" spans="1:10" x14ac:dyDescent="0.3">
      <c r="A902">
        <v>1023</v>
      </c>
      <c r="B902" s="1">
        <v>45151</v>
      </c>
      <c r="C902" t="s">
        <v>14</v>
      </c>
      <c r="D902" t="s">
        <v>34</v>
      </c>
      <c r="E902">
        <v>4896.93</v>
      </c>
      <c r="F902">
        <v>38</v>
      </c>
      <c r="G902" t="s">
        <v>29</v>
      </c>
      <c r="H902">
        <v>324.45</v>
      </c>
      <c r="I902">
        <v>336.37</v>
      </c>
      <c r="J902">
        <f>Table2[[#This Row],[Sales_Amount]]-(Table2[[#This Row],[Quantity_Sold]]*Table2[[#This Row],[Unit_Cost]])</f>
        <v>-7432.17</v>
      </c>
    </row>
    <row r="903" spans="1:10" x14ac:dyDescent="0.3">
      <c r="A903">
        <v>1055</v>
      </c>
      <c r="B903" s="1">
        <v>45215</v>
      </c>
      <c r="C903" t="s">
        <v>24</v>
      </c>
      <c r="D903" t="s">
        <v>34</v>
      </c>
      <c r="E903">
        <v>3093.95</v>
      </c>
      <c r="F903">
        <v>46</v>
      </c>
      <c r="G903" t="s">
        <v>29</v>
      </c>
      <c r="H903">
        <v>4173.5200000000004</v>
      </c>
      <c r="I903">
        <v>4294.8500000000004</v>
      </c>
      <c r="J903">
        <f>Table2[[#This Row],[Sales_Amount]]-(Table2[[#This Row],[Quantity_Sold]]*Table2[[#This Row],[Unit_Cost]])</f>
        <v>-188887.97</v>
      </c>
    </row>
    <row r="904" spans="1:10" x14ac:dyDescent="0.3">
      <c r="A904">
        <v>1080</v>
      </c>
      <c r="B904" s="1">
        <v>45159</v>
      </c>
      <c r="C904" t="s">
        <v>24</v>
      </c>
      <c r="D904" t="s">
        <v>25</v>
      </c>
      <c r="E904">
        <v>5677.74</v>
      </c>
      <c r="F904">
        <v>12</v>
      </c>
      <c r="G904" t="s">
        <v>35</v>
      </c>
      <c r="H904">
        <v>2316.13</v>
      </c>
      <c r="I904">
        <v>2525.27</v>
      </c>
      <c r="J904">
        <f>Table2[[#This Row],[Sales_Amount]]-(Table2[[#This Row],[Quantity_Sold]]*Table2[[#This Row],[Unit_Cost]])</f>
        <v>-22115.82</v>
      </c>
    </row>
    <row r="905" spans="1:10" x14ac:dyDescent="0.3">
      <c r="A905">
        <v>1095</v>
      </c>
      <c r="B905" s="1">
        <v>45003</v>
      </c>
      <c r="C905" t="s">
        <v>38</v>
      </c>
      <c r="D905" t="s">
        <v>25</v>
      </c>
      <c r="E905">
        <v>8057.67</v>
      </c>
      <c r="F905">
        <v>43</v>
      </c>
      <c r="G905" t="s">
        <v>16</v>
      </c>
      <c r="H905">
        <v>1331.86</v>
      </c>
      <c r="I905">
        <v>1758.98</v>
      </c>
      <c r="J905">
        <f>Table2[[#This Row],[Sales_Amount]]-(Table2[[#This Row],[Quantity_Sold]]*Table2[[#This Row],[Unit_Cost]])</f>
        <v>-49212.31</v>
      </c>
    </row>
    <row r="906" spans="1:10" x14ac:dyDescent="0.3">
      <c r="A906">
        <v>1075</v>
      </c>
      <c r="B906" s="1">
        <v>45042</v>
      </c>
      <c r="C906" t="s">
        <v>24</v>
      </c>
      <c r="D906" t="s">
        <v>25</v>
      </c>
      <c r="E906">
        <v>1457.77</v>
      </c>
      <c r="F906">
        <v>37</v>
      </c>
      <c r="G906" t="s">
        <v>35</v>
      </c>
      <c r="H906">
        <v>4399.8</v>
      </c>
      <c r="I906">
        <v>4801.0600000000004</v>
      </c>
      <c r="J906">
        <f>Table2[[#This Row],[Sales_Amount]]-(Table2[[#This Row],[Quantity_Sold]]*Table2[[#This Row],[Unit_Cost]])</f>
        <v>-161334.83000000002</v>
      </c>
    </row>
    <row r="907" spans="1:10" x14ac:dyDescent="0.3">
      <c r="A907">
        <v>1016</v>
      </c>
      <c r="B907" s="1">
        <v>45080</v>
      </c>
      <c r="C907" t="s">
        <v>24</v>
      </c>
      <c r="D907" t="s">
        <v>21</v>
      </c>
      <c r="E907">
        <v>5848.92</v>
      </c>
      <c r="F907">
        <v>46</v>
      </c>
      <c r="G907" t="s">
        <v>29</v>
      </c>
      <c r="H907">
        <v>1023.5</v>
      </c>
      <c r="I907">
        <v>1164.4100000000001</v>
      </c>
      <c r="J907">
        <f>Table2[[#This Row],[Sales_Amount]]-(Table2[[#This Row],[Quantity_Sold]]*Table2[[#This Row],[Unit_Cost]])</f>
        <v>-41232.080000000002</v>
      </c>
    </row>
    <row r="908" spans="1:10" x14ac:dyDescent="0.3">
      <c r="A908">
        <v>1008</v>
      </c>
      <c r="B908" s="1">
        <v>45029</v>
      </c>
      <c r="C908" t="s">
        <v>33</v>
      </c>
      <c r="D908" t="s">
        <v>25</v>
      </c>
      <c r="E908">
        <v>5104.54</v>
      </c>
      <c r="F908">
        <v>24</v>
      </c>
      <c r="G908" t="s">
        <v>16</v>
      </c>
      <c r="H908">
        <v>4739.13</v>
      </c>
      <c r="I908">
        <v>4868.95</v>
      </c>
      <c r="J908">
        <f>Table2[[#This Row],[Sales_Amount]]-(Table2[[#This Row],[Quantity_Sold]]*Table2[[#This Row],[Unit_Cost]])</f>
        <v>-108634.58</v>
      </c>
    </row>
    <row r="909" spans="1:10" x14ac:dyDescent="0.3">
      <c r="A909">
        <v>1004</v>
      </c>
      <c r="B909" s="1">
        <v>45120</v>
      </c>
      <c r="C909" t="s">
        <v>38</v>
      </c>
      <c r="D909" t="s">
        <v>34</v>
      </c>
      <c r="E909">
        <v>1526.38</v>
      </c>
      <c r="F909">
        <v>16</v>
      </c>
      <c r="G909" t="s">
        <v>29</v>
      </c>
      <c r="H909">
        <v>1067.83</v>
      </c>
      <c r="I909">
        <v>1189.22</v>
      </c>
      <c r="J909">
        <f>Table2[[#This Row],[Sales_Amount]]-(Table2[[#This Row],[Quantity_Sold]]*Table2[[#This Row],[Unit_Cost]])</f>
        <v>-15558.899999999998</v>
      </c>
    </row>
    <row r="910" spans="1:10" x14ac:dyDescent="0.3">
      <c r="A910">
        <v>1004</v>
      </c>
      <c r="B910" s="1">
        <v>45092</v>
      </c>
      <c r="C910" t="s">
        <v>42</v>
      </c>
      <c r="D910" t="s">
        <v>34</v>
      </c>
      <c r="E910">
        <v>6277.59</v>
      </c>
      <c r="F910">
        <v>13</v>
      </c>
      <c r="G910" t="s">
        <v>16</v>
      </c>
      <c r="H910">
        <v>3087.73</v>
      </c>
      <c r="I910">
        <v>3263.96</v>
      </c>
      <c r="J910">
        <f>Table2[[#This Row],[Sales_Amount]]-(Table2[[#This Row],[Quantity_Sold]]*Table2[[#This Row],[Unit_Cost]])</f>
        <v>-33862.899999999994</v>
      </c>
    </row>
    <row r="911" spans="1:10" x14ac:dyDescent="0.3">
      <c r="A911">
        <v>1056</v>
      </c>
      <c r="B911" s="1">
        <v>45285</v>
      </c>
      <c r="C911" t="s">
        <v>14</v>
      </c>
      <c r="D911" t="s">
        <v>15</v>
      </c>
      <c r="E911">
        <v>2809.04</v>
      </c>
      <c r="F911">
        <v>25</v>
      </c>
      <c r="G911" t="s">
        <v>29</v>
      </c>
      <c r="H911">
        <v>1154.28</v>
      </c>
      <c r="I911">
        <v>1408.4</v>
      </c>
      <c r="J911">
        <f>Table2[[#This Row],[Sales_Amount]]-(Table2[[#This Row],[Quantity_Sold]]*Table2[[#This Row],[Unit_Cost]])</f>
        <v>-26047.96</v>
      </c>
    </row>
    <row r="912" spans="1:10" x14ac:dyDescent="0.3">
      <c r="A912">
        <v>1025</v>
      </c>
      <c r="B912" s="1">
        <v>45016</v>
      </c>
      <c r="C912" t="s">
        <v>24</v>
      </c>
      <c r="D912" t="s">
        <v>21</v>
      </c>
      <c r="E912">
        <v>4929.5600000000004</v>
      </c>
      <c r="F912">
        <v>4</v>
      </c>
      <c r="G912" t="s">
        <v>16</v>
      </c>
      <c r="H912">
        <v>2751.06</v>
      </c>
      <c r="I912">
        <v>2976.0099999999902</v>
      </c>
      <c r="J912">
        <f>Table2[[#This Row],[Sales_Amount]]-(Table2[[#This Row],[Quantity_Sold]]*Table2[[#This Row],[Unit_Cost]])</f>
        <v>-6074.6799999999994</v>
      </c>
    </row>
    <row r="913" spans="1:10" x14ac:dyDescent="0.3">
      <c r="A913">
        <v>1067</v>
      </c>
      <c r="B913" s="1">
        <v>45100</v>
      </c>
      <c r="C913" t="s">
        <v>14</v>
      </c>
      <c r="D913" t="s">
        <v>15</v>
      </c>
      <c r="E913">
        <v>914.5</v>
      </c>
      <c r="F913">
        <v>11</v>
      </c>
      <c r="G913" t="s">
        <v>16</v>
      </c>
      <c r="H913">
        <v>3435.68</v>
      </c>
      <c r="I913">
        <v>3552.6299999999901</v>
      </c>
      <c r="J913">
        <f>Table2[[#This Row],[Sales_Amount]]-(Table2[[#This Row],[Quantity_Sold]]*Table2[[#This Row],[Unit_Cost]])</f>
        <v>-36877.979999999996</v>
      </c>
    </row>
    <row r="914" spans="1:10" x14ac:dyDescent="0.3">
      <c r="A914">
        <v>1096</v>
      </c>
      <c r="B914" s="1">
        <v>45048</v>
      </c>
      <c r="C914" t="s">
        <v>42</v>
      </c>
      <c r="D914" t="s">
        <v>34</v>
      </c>
      <c r="E914">
        <v>4649.88</v>
      </c>
      <c r="F914">
        <v>32</v>
      </c>
      <c r="G914" t="s">
        <v>16</v>
      </c>
      <c r="H914">
        <v>991.63</v>
      </c>
      <c r="I914">
        <v>1065.55</v>
      </c>
      <c r="J914">
        <f>Table2[[#This Row],[Sales_Amount]]-(Table2[[#This Row],[Quantity_Sold]]*Table2[[#This Row],[Unit_Cost]])</f>
        <v>-27082.28</v>
      </c>
    </row>
    <row r="915" spans="1:10" x14ac:dyDescent="0.3">
      <c r="A915">
        <v>1067</v>
      </c>
      <c r="B915" s="1">
        <v>45069</v>
      </c>
      <c r="C915" t="s">
        <v>14</v>
      </c>
      <c r="D915" t="s">
        <v>15</v>
      </c>
      <c r="E915">
        <v>3133.99</v>
      </c>
      <c r="F915">
        <v>49</v>
      </c>
      <c r="G915" t="s">
        <v>16</v>
      </c>
      <c r="H915">
        <v>2628.38</v>
      </c>
      <c r="I915">
        <v>2644.54</v>
      </c>
      <c r="J915">
        <f>Table2[[#This Row],[Sales_Amount]]-(Table2[[#This Row],[Quantity_Sold]]*Table2[[#This Row],[Unit_Cost]])</f>
        <v>-125656.63</v>
      </c>
    </row>
    <row r="916" spans="1:10" x14ac:dyDescent="0.3">
      <c r="A916">
        <v>1027</v>
      </c>
      <c r="B916" s="1">
        <v>45032</v>
      </c>
      <c r="C916" t="s">
        <v>42</v>
      </c>
      <c r="D916" t="s">
        <v>34</v>
      </c>
      <c r="E916">
        <v>8241.57</v>
      </c>
      <c r="F916">
        <v>7</v>
      </c>
      <c r="G916" t="s">
        <v>26</v>
      </c>
      <c r="H916">
        <v>2371.85</v>
      </c>
      <c r="I916">
        <v>2457.29</v>
      </c>
      <c r="J916">
        <f>Table2[[#This Row],[Sales_Amount]]-(Table2[[#This Row],[Quantity_Sold]]*Table2[[#This Row],[Unit_Cost]])</f>
        <v>-8361.380000000001</v>
      </c>
    </row>
    <row r="917" spans="1:10" x14ac:dyDescent="0.3">
      <c r="A917">
        <v>1093</v>
      </c>
      <c r="B917" s="1">
        <v>45231</v>
      </c>
      <c r="C917" t="s">
        <v>33</v>
      </c>
      <c r="D917" t="s">
        <v>15</v>
      </c>
      <c r="E917">
        <v>664.09</v>
      </c>
      <c r="F917">
        <v>46</v>
      </c>
      <c r="G917" t="s">
        <v>29</v>
      </c>
      <c r="H917">
        <v>401.64</v>
      </c>
      <c r="I917">
        <v>757.26</v>
      </c>
      <c r="J917">
        <f>Table2[[#This Row],[Sales_Amount]]-(Table2[[#This Row],[Quantity_Sold]]*Table2[[#This Row],[Unit_Cost]])</f>
        <v>-17811.349999999999</v>
      </c>
    </row>
    <row r="918" spans="1:10" x14ac:dyDescent="0.3">
      <c r="A918">
        <v>1032</v>
      </c>
      <c r="B918" s="1">
        <v>45286</v>
      </c>
      <c r="C918" t="s">
        <v>24</v>
      </c>
      <c r="D918" t="s">
        <v>25</v>
      </c>
      <c r="E918">
        <v>4244.21</v>
      </c>
      <c r="F918">
        <v>11</v>
      </c>
      <c r="G918" t="s">
        <v>29</v>
      </c>
      <c r="H918">
        <v>4100.62</v>
      </c>
      <c r="I918">
        <v>4230</v>
      </c>
      <c r="J918">
        <f>Table2[[#This Row],[Sales_Amount]]-(Table2[[#This Row],[Quantity_Sold]]*Table2[[#This Row],[Unit_Cost]])</f>
        <v>-40862.61</v>
      </c>
    </row>
    <row r="919" spans="1:10" x14ac:dyDescent="0.3">
      <c r="A919">
        <v>1050</v>
      </c>
      <c r="B919" s="1">
        <v>45243</v>
      </c>
      <c r="C919" t="s">
        <v>42</v>
      </c>
      <c r="D919" t="s">
        <v>15</v>
      </c>
      <c r="E919">
        <v>4638.47</v>
      </c>
      <c r="F919">
        <v>28</v>
      </c>
      <c r="G919" t="s">
        <v>26</v>
      </c>
      <c r="H919">
        <v>1711.63</v>
      </c>
      <c r="I919">
        <v>1951.24</v>
      </c>
      <c r="J919">
        <f>Table2[[#This Row],[Sales_Amount]]-(Table2[[#This Row],[Quantity_Sold]]*Table2[[#This Row],[Unit_Cost]])</f>
        <v>-43287.17</v>
      </c>
    </row>
    <row r="920" spans="1:10" x14ac:dyDescent="0.3">
      <c r="A920">
        <v>1061</v>
      </c>
      <c r="B920" s="1">
        <v>45049</v>
      </c>
      <c r="C920" t="s">
        <v>14</v>
      </c>
      <c r="D920" t="s">
        <v>25</v>
      </c>
      <c r="E920">
        <v>7277.56</v>
      </c>
      <c r="F920">
        <v>41</v>
      </c>
      <c r="G920" t="s">
        <v>16</v>
      </c>
      <c r="H920">
        <v>2894.18</v>
      </c>
      <c r="I920">
        <v>3193.92</v>
      </c>
      <c r="J920">
        <f>Table2[[#This Row],[Sales_Amount]]-(Table2[[#This Row],[Quantity_Sold]]*Table2[[#This Row],[Unit_Cost]])</f>
        <v>-111383.81999999999</v>
      </c>
    </row>
    <row r="921" spans="1:10" x14ac:dyDescent="0.3">
      <c r="A921">
        <v>1051</v>
      </c>
      <c r="B921" s="1">
        <v>44935</v>
      </c>
      <c r="C921" t="s">
        <v>24</v>
      </c>
      <c r="D921" t="s">
        <v>25</v>
      </c>
      <c r="E921">
        <v>5785.45</v>
      </c>
      <c r="F921">
        <v>23</v>
      </c>
      <c r="G921" t="s">
        <v>16</v>
      </c>
      <c r="H921">
        <v>2598.1799999999998</v>
      </c>
      <c r="I921">
        <v>3042.73</v>
      </c>
      <c r="J921">
        <f>Table2[[#This Row],[Sales_Amount]]-(Table2[[#This Row],[Quantity_Sold]]*Table2[[#This Row],[Unit_Cost]])</f>
        <v>-53972.69</v>
      </c>
    </row>
    <row r="922" spans="1:10" x14ac:dyDescent="0.3">
      <c r="A922">
        <v>1019</v>
      </c>
      <c r="B922" s="1">
        <v>45188</v>
      </c>
      <c r="C922" t="s">
        <v>33</v>
      </c>
      <c r="D922" t="s">
        <v>21</v>
      </c>
      <c r="E922">
        <v>6705.4</v>
      </c>
      <c r="F922">
        <v>45</v>
      </c>
      <c r="G922" t="s">
        <v>29</v>
      </c>
      <c r="H922">
        <v>2590.64</v>
      </c>
      <c r="I922">
        <v>3036.18</v>
      </c>
      <c r="J922">
        <f>Table2[[#This Row],[Sales_Amount]]-(Table2[[#This Row],[Quantity_Sold]]*Table2[[#This Row],[Unit_Cost]])</f>
        <v>-109873.4</v>
      </c>
    </row>
    <row r="923" spans="1:10" x14ac:dyDescent="0.3">
      <c r="A923">
        <v>1021</v>
      </c>
      <c r="B923" s="1">
        <v>44999</v>
      </c>
      <c r="C923" t="s">
        <v>24</v>
      </c>
      <c r="D923" t="s">
        <v>25</v>
      </c>
      <c r="E923">
        <v>7792.79</v>
      </c>
      <c r="F923">
        <v>23</v>
      </c>
      <c r="G923" t="s">
        <v>26</v>
      </c>
      <c r="H923">
        <v>580.75</v>
      </c>
      <c r="I923">
        <v>956.16</v>
      </c>
      <c r="J923">
        <f>Table2[[#This Row],[Sales_Amount]]-(Table2[[#This Row],[Quantity_Sold]]*Table2[[#This Row],[Unit_Cost]])</f>
        <v>-5564.46</v>
      </c>
    </row>
    <row r="924" spans="1:10" x14ac:dyDescent="0.3">
      <c r="A924">
        <v>1005</v>
      </c>
      <c r="B924" s="1">
        <v>45285</v>
      </c>
      <c r="C924" t="s">
        <v>42</v>
      </c>
      <c r="D924" t="s">
        <v>25</v>
      </c>
      <c r="E924">
        <v>8635.81</v>
      </c>
      <c r="F924">
        <v>28</v>
      </c>
      <c r="G924" t="s">
        <v>16</v>
      </c>
      <c r="H924">
        <v>2146.2399999999998</v>
      </c>
      <c r="I924">
        <v>2173.4699999999998</v>
      </c>
      <c r="J924">
        <f>Table2[[#This Row],[Sales_Amount]]-(Table2[[#This Row],[Quantity_Sold]]*Table2[[#This Row],[Unit_Cost]])</f>
        <v>-51458.909999999996</v>
      </c>
    </row>
    <row r="925" spans="1:10" x14ac:dyDescent="0.3">
      <c r="A925">
        <v>1082</v>
      </c>
      <c r="B925" s="1">
        <v>45149</v>
      </c>
      <c r="C925" t="s">
        <v>33</v>
      </c>
      <c r="D925" t="s">
        <v>15</v>
      </c>
      <c r="E925">
        <v>3207.37</v>
      </c>
      <c r="F925">
        <v>43</v>
      </c>
      <c r="G925" t="s">
        <v>16</v>
      </c>
      <c r="H925">
        <v>2289.2199999999998</v>
      </c>
      <c r="I925">
        <v>2581</v>
      </c>
      <c r="J925">
        <f>Table2[[#This Row],[Sales_Amount]]-(Table2[[#This Row],[Quantity_Sold]]*Table2[[#This Row],[Unit_Cost]])</f>
        <v>-95229.09</v>
      </c>
    </row>
    <row r="926" spans="1:10" x14ac:dyDescent="0.3">
      <c r="A926">
        <v>1092</v>
      </c>
      <c r="B926" s="1">
        <v>44967</v>
      </c>
      <c r="C926" t="s">
        <v>14</v>
      </c>
      <c r="D926" t="s">
        <v>34</v>
      </c>
      <c r="E926">
        <v>5426.42</v>
      </c>
      <c r="F926">
        <v>47</v>
      </c>
      <c r="G926" t="s">
        <v>16</v>
      </c>
      <c r="H926">
        <v>3681.53</v>
      </c>
      <c r="I926">
        <v>4076.96</v>
      </c>
      <c r="J926">
        <f>Table2[[#This Row],[Sales_Amount]]-(Table2[[#This Row],[Quantity_Sold]]*Table2[[#This Row],[Unit_Cost]])</f>
        <v>-167605.49</v>
      </c>
    </row>
    <row r="927" spans="1:10" x14ac:dyDescent="0.3">
      <c r="A927">
        <v>1042</v>
      </c>
      <c r="B927" s="1">
        <v>45130</v>
      </c>
      <c r="C927" t="s">
        <v>33</v>
      </c>
      <c r="D927" t="s">
        <v>21</v>
      </c>
      <c r="E927">
        <v>8417.07</v>
      </c>
      <c r="F927">
        <v>26</v>
      </c>
      <c r="G927" t="s">
        <v>35</v>
      </c>
      <c r="H927">
        <v>4208.09</v>
      </c>
      <c r="I927">
        <v>4226.5600000000004</v>
      </c>
      <c r="J927">
        <f>Table2[[#This Row],[Sales_Amount]]-(Table2[[#This Row],[Quantity_Sold]]*Table2[[#This Row],[Unit_Cost]])</f>
        <v>-100993.26999999999</v>
      </c>
    </row>
    <row r="928" spans="1:10" x14ac:dyDescent="0.3">
      <c r="A928">
        <v>1061</v>
      </c>
      <c r="B928" s="1">
        <v>45190</v>
      </c>
      <c r="C928" t="s">
        <v>33</v>
      </c>
      <c r="D928" t="s">
        <v>25</v>
      </c>
      <c r="E928">
        <v>9895.57</v>
      </c>
      <c r="F928">
        <v>25</v>
      </c>
      <c r="G928" t="s">
        <v>26</v>
      </c>
      <c r="H928">
        <v>2747.66</v>
      </c>
      <c r="I928">
        <v>3027.0099999999902</v>
      </c>
      <c r="J928">
        <f>Table2[[#This Row],[Sales_Amount]]-(Table2[[#This Row],[Quantity_Sold]]*Table2[[#This Row],[Unit_Cost]])</f>
        <v>-58795.93</v>
      </c>
    </row>
    <row r="929" spans="1:10" x14ac:dyDescent="0.3">
      <c r="A929">
        <v>1022</v>
      </c>
      <c r="B929" s="1">
        <v>45254</v>
      </c>
      <c r="C929" t="s">
        <v>38</v>
      </c>
      <c r="D929" t="s">
        <v>21</v>
      </c>
      <c r="E929">
        <v>8906.24</v>
      </c>
      <c r="F929">
        <v>29</v>
      </c>
      <c r="G929" t="s">
        <v>16</v>
      </c>
      <c r="H929">
        <v>479.58</v>
      </c>
      <c r="I929">
        <v>909.88</v>
      </c>
      <c r="J929">
        <f>Table2[[#This Row],[Sales_Amount]]-(Table2[[#This Row],[Quantity_Sold]]*Table2[[#This Row],[Unit_Cost]])</f>
        <v>-5001.58</v>
      </c>
    </row>
    <row r="930" spans="1:10" x14ac:dyDescent="0.3">
      <c r="A930">
        <v>1021</v>
      </c>
      <c r="B930" s="1">
        <v>45104</v>
      </c>
      <c r="C930" t="s">
        <v>33</v>
      </c>
      <c r="D930" t="s">
        <v>15</v>
      </c>
      <c r="E930">
        <v>3777.53</v>
      </c>
      <c r="F930">
        <v>19</v>
      </c>
      <c r="G930" t="s">
        <v>35</v>
      </c>
      <c r="H930">
        <v>1222.4000000000001</v>
      </c>
      <c r="I930">
        <v>1464.71</v>
      </c>
      <c r="J930">
        <f>Table2[[#This Row],[Sales_Amount]]-(Table2[[#This Row],[Quantity_Sold]]*Table2[[#This Row],[Unit_Cost]])</f>
        <v>-19448.070000000003</v>
      </c>
    </row>
    <row r="931" spans="1:10" x14ac:dyDescent="0.3">
      <c r="A931">
        <v>1070</v>
      </c>
      <c r="B931" s="1">
        <v>45274</v>
      </c>
      <c r="C931" t="s">
        <v>33</v>
      </c>
      <c r="D931" t="s">
        <v>25</v>
      </c>
      <c r="E931">
        <v>2032.15</v>
      </c>
      <c r="F931">
        <v>33</v>
      </c>
      <c r="G931" t="s">
        <v>26</v>
      </c>
      <c r="H931">
        <v>866.42</v>
      </c>
      <c r="I931">
        <v>878.43</v>
      </c>
      <c r="J931">
        <f>Table2[[#This Row],[Sales_Amount]]-(Table2[[#This Row],[Quantity_Sold]]*Table2[[#This Row],[Unit_Cost]])</f>
        <v>-26559.709999999995</v>
      </c>
    </row>
    <row r="932" spans="1:10" x14ac:dyDescent="0.3">
      <c r="A932">
        <v>1001</v>
      </c>
      <c r="B932" s="1">
        <v>45244</v>
      </c>
      <c r="C932" t="s">
        <v>24</v>
      </c>
      <c r="D932" t="s">
        <v>15</v>
      </c>
      <c r="E932">
        <v>4944.99</v>
      </c>
      <c r="F932">
        <v>36</v>
      </c>
      <c r="G932" t="s">
        <v>16</v>
      </c>
      <c r="H932">
        <v>666.84</v>
      </c>
      <c r="I932">
        <v>682.24</v>
      </c>
      <c r="J932">
        <f>Table2[[#This Row],[Sales_Amount]]-(Table2[[#This Row],[Quantity_Sold]]*Table2[[#This Row],[Unit_Cost]])</f>
        <v>-19061.25</v>
      </c>
    </row>
    <row r="933" spans="1:10" x14ac:dyDescent="0.3">
      <c r="A933">
        <v>1005</v>
      </c>
      <c r="B933" s="1">
        <v>45010</v>
      </c>
      <c r="C933" t="s">
        <v>14</v>
      </c>
      <c r="D933" t="s">
        <v>21</v>
      </c>
      <c r="E933">
        <v>7442.25</v>
      </c>
      <c r="F933">
        <v>14</v>
      </c>
      <c r="G933" t="s">
        <v>29</v>
      </c>
      <c r="H933">
        <v>1861.2</v>
      </c>
      <c r="I933">
        <v>2075.35</v>
      </c>
      <c r="J933">
        <f>Table2[[#This Row],[Sales_Amount]]-(Table2[[#This Row],[Quantity_Sold]]*Table2[[#This Row],[Unit_Cost]])</f>
        <v>-18614.55</v>
      </c>
    </row>
    <row r="934" spans="1:10" x14ac:dyDescent="0.3">
      <c r="A934">
        <v>1012</v>
      </c>
      <c r="B934" s="1">
        <v>45244</v>
      </c>
      <c r="C934" t="s">
        <v>24</v>
      </c>
      <c r="D934" t="s">
        <v>15</v>
      </c>
      <c r="E934">
        <v>4976.43</v>
      </c>
      <c r="F934">
        <v>14</v>
      </c>
      <c r="G934" t="s">
        <v>35</v>
      </c>
      <c r="H934">
        <v>1185.5</v>
      </c>
      <c r="I934">
        <v>1271.45</v>
      </c>
      <c r="J934">
        <f>Table2[[#This Row],[Sales_Amount]]-(Table2[[#This Row],[Quantity_Sold]]*Table2[[#This Row],[Unit_Cost]])</f>
        <v>-11620.57</v>
      </c>
    </row>
    <row r="935" spans="1:10" x14ac:dyDescent="0.3">
      <c r="A935">
        <v>1090</v>
      </c>
      <c r="B935" s="1">
        <v>45037</v>
      </c>
      <c r="C935" t="s">
        <v>24</v>
      </c>
      <c r="D935" t="s">
        <v>21</v>
      </c>
      <c r="E935">
        <v>4883.49</v>
      </c>
      <c r="F935">
        <v>35</v>
      </c>
      <c r="G935" t="s">
        <v>35</v>
      </c>
      <c r="H935">
        <v>1130.5999999999999</v>
      </c>
      <c r="I935">
        <v>1466.1799999999901</v>
      </c>
      <c r="J935">
        <f>Table2[[#This Row],[Sales_Amount]]-(Table2[[#This Row],[Quantity_Sold]]*Table2[[#This Row],[Unit_Cost]])</f>
        <v>-34687.51</v>
      </c>
    </row>
    <row r="936" spans="1:10" x14ac:dyDescent="0.3">
      <c r="A936">
        <v>1046</v>
      </c>
      <c r="B936" s="1">
        <v>45177</v>
      </c>
      <c r="C936" t="s">
        <v>42</v>
      </c>
      <c r="D936" t="s">
        <v>15</v>
      </c>
      <c r="E936">
        <v>8398.48</v>
      </c>
      <c r="F936">
        <v>30</v>
      </c>
      <c r="G936" t="s">
        <v>16</v>
      </c>
      <c r="H936">
        <v>320.73</v>
      </c>
      <c r="I936">
        <v>678.04</v>
      </c>
      <c r="J936">
        <f>Table2[[#This Row],[Sales_Amount]]-(Table2[[#This Row],[Quantity_Sold]]*Table2[[#This Row],[Unit_Cost]])</f>
        <v>-1223.4200000000019</v>
      </c>
    </row>
    <row r="937" spans="1:10" x14ac:dyDescent="0.3">
      <c r="A937">
        <v>1034</v>
      </c>
      <c r="B937" s="1">
        <v>44933</v>
      </c>
      <c r="C937" t="s">
        <v>24</v>
      </c>
      <c r="D937" t="s">
        <v>21</v>
      </c>
      <c r="E937">
        <v>3677.9</v>
      </c>
      <c r="F937">
        <v>28</v>
      </c>
      <c r="G937" t="s">
        <v>16</v>
      </c>
      <c r="H937">
        <v>137.47</v>
      </c>
      <c r="I937">
        <v>234.63</v>
      </c>
      <c r="J937">
        <f>Table2[[#This Row],[Sales_Amount]]-(Table2[[#This Row],[Quantity_Sold]]*Table2[[#This Row],[Unit_Cost]])</f>
        <v>-171.25999999999976</v>
      </c>
    </row>
    <row r="938" spans="1:10" x14ac:dyDescent="0.3">
      <c r="A938">
        <v>1049</v>
      </c>
      <c r="B938" s="1">
        <v>45010</v>
      </c>
      <c r="C938" t="s">
        <v>38</v>
      </c>
      <c r="D938" t="s">
        <v>34</v>
      </c>
      <c r="E938">
        <v>8611.9699999999993</v>
      </c>
      <c r="F938">
        <v>17</v>
      </c>
      <c r="G938" t="s">
        <v>35</v>
      </c>
      <c r="H938">
        <v>558.70000000000005</v>
      </c>
      <c r="I938">
        <v>1004.08</v>
      </c>
      <c r="J938">
        <f>Table2[[#This Row],[Sales_Amount]]-(Table2[[#This Row],[Quantity_Sold]]*Table2[[#This Row],[Unit_Cost]])</f>
        <v>-885.93000000000211</v>
      </c>
    </row>
    <row r="939" spans="1:10" x14ac:dyDescent="0.3">
      <c r="A939">
        <v>1078</v>
      </c>
      <c r="B939" s="1">
        <v>45134</v>
      </c>
      <c r="C939" t="s">
        <v>38</v>
      </c>
      <c r="D939" t="s">
        <v>15</v>
      </c>
      <c r="E939">
        <v>4127.37</v>
      </c>
      <c r="F939">
        <v>3</v>
      </c>
      <c r="G939" t="s">
        <v>29</v>
      </c>
      <c r="H939">
        <v>902.38</v>
      </c>
      <c r="I939">
        <v>1128.9100000000001</v>
      </c>
      <c r="J939">
        <f>Table2[[#This Row],[Sales_Amount]]-(Table2[[#This Row],[Quantity_Sold]]*Table2[[#This Row],[Unit_Cost]])</f>
        <v>1420.23</v>
      </c>
    </row>
    <row r="940" spans="1:10" x14ac:dyDescent="0.3">
      <c r="A940">
        <v>1090</v>
      </c>
      <c r="B940" s="1">
        <v>45240</v>
      </c>
      <c r="C940" t="s">
        <v>42</v>
      </c>
      <c r="D940" t="s">
        <v>15</v>
      </c>
      <c r="E940">
        <v>3349.51</v>
      </c>
      <c r="F940">
        <v>16</v>
      </c>
      <c r="G940" t="s">
        <v>29</v>
      </c>
      <c r="H940">
        <v>2183.37</v>
      </c>
      <c r="I940">
        <v>2263.3599999999901</v>
      </c>
      <c r="J940">
        <f>Table2[[#This Row],[Sales_Amount]]-(Table2[[#This Row],[Quantity_Sold]]*Table2[[#This Row],[Unit_Cost]])</f>
        <v>-31584.409999999996</v>
      </c>
    </row>
    <row r="941" spans="1:10" x14ac:dyDescent="0.3">
      <c r="A941">
        <v>1045</v>
      </c>
      <c r="B941" s="1">
        <v>44948</v>
      </c>
      <c r="C941" t="s">
        <v>14</v>
      </c>
      <c r="D941" t="s">
        <v>34</v>
      </c>
      <c r="E941">
        <v>4594.5</v>
      </c>
      <c r="F941">
        <v>46</v>
      </c>
      <c r="G941" t="s">
        <v>26</v>
      </c>
      <c r="H941">
        <v>2577.08</v>
      </c>
      <c r="I941">
        <v>2961.56</v>
      </c>
      <c r="J941">
        <f>Table2[[#This Row],[Sales_Amount]]-(Table2[[#This Row],[Quantity_Sold]]*Table2[[#This Row],[Unit_Cost]])</f>
        <v>-113951.18</v>
      </c>
    </row>
    <row r="942" spans="1:10" x14ac:dyDescent="0.3">
      <c r="A942">
        <v>1027</v>
      </c>
      <c r="B942" s="1">
        <v>44929</v>
      </c>
      <c r="C942" t="s">
        <v>14</v>
      </c>
      <c r="D942" t="s">
        <v>34</v>
      </c>
      <c r="E942">
        <v>7648.22</v>
      </c>
      <c r="F942">
        <v>30</v>
      </c>
      <c r="G942" t="s">
        <v>16</v>
      </c>
      <c r="H942">
        <v>745.93</v>
      </c>
      <c r="I942">
        <v>1143.02</v>
      </c>
      <c r="J942">
        <f>Table2[[#This Row],[Sales_Amount]]-(Table2[[#This Row],[Quantity_Sold]]*Table2[[#This Row],[Unit_Cost]])</f>
        <v>-14729.679999999997</v>
      </c>
    </row>
    <row r="943" spans="1:10" x14ac:dyDescent="0.3">
      <c r="A943">
        <v>1073</v>
      </c>
      <c r="B943" s="1">
        <v>45053</v>
      </c>
      <c r="C943" t="s">
        <v>24</v>
      </c>
      <c r="D943" t="s">
        <v>15</v>
      </c>
      <c r="E943">
        <v>1347.42</v>
      </c>
      <c r="F943">
        <v>29</v>
      </c>
      <c r="G943" t="s">
        <v>29</v>
      </c>
      <c r="H943">
        <v>2152.6799999999998</v>
      </c>
      <c r="I943">
        <v>2475.9299999999998</v>
      </c>
      <c r="J943">
        <f>Table2[[#This Row],[Sales_Amount]]-(Table2[[#This Row],[Quantity_Sold]]*Table2[[#This Row],[Unit_Cost]])</f>
        <v>-61080.299999999996</v>
      </c>
    </row>
    <row r="944" spans="1:10" x14ac:dyDescent="0.3">
      <c r="A944">
        <v>1026</v>
      </c>
      <c r="B944" s="1">
        <v>45223</v>
      </c>
      <c r="C944" t="s">
        <v>24</v>
      </c>
      <c r="D944" t="s">
        <v>34</v>
      </c>
      <c r="E944">
        <v>2044.55</v>
      </c>
      <c r="F944">
        <v>45</v>
      </c>
      <c r="G944" t="s">
        <v>26</v>
      </c>
      <c r="H944">
        <v>1741.66</v>
      </c>
      <c r="I944">
        <v>2169.86</v>
      </c>
      <c r="J944">
        <f>Table2[[#This Row],[Sales_Amount]]-(Table2[[#This Row],[Quantity_Sold]]*Table2[[#This Row],[Unit_Cost]])</f>
        <v>-76330.149999999994</v>
      </c>
    </row>
    <row r="945" spans="1:10" x14ac:dyDescent="0.3">
      <c r="A945">
        <v>1047</v>
      </c>
      <c r="B945" s="1">
        <v>45114</v>
      </c>
      <c r="C945" t="s">
        <v>24</v>
      </c>
      <c r="D945" t="s">
        <v>25</v>
      </c>
      <c r="E945">
        <v>9519.2999999999993</v>
      </c>
      <c r="F945">
        <v>15</v>
      </c>
      <c r="G945" t="s">
        <v>29</v>
      </c>
      <c r="H945">
        <v>957.95</v>
      </c>
      <c r="I945">
        <v>1329.26</v>
      </c>
      <c r="J945">
        <f>Table2[[#This Row],[Sales_Amount]]-(Table2[[#This Row],[Quantity_Sold]]*Table2[[#This Row],[Unit_Cost]])</f>
        <v>-4849.9500000000007</v>
      </c>
    </row>
    <row r="946" spans="1:10" x14ac:dyDescent="0.3">
      <c r="A946">
        <v>1086</v>
      </c>
      <c r="B946" s="1">
        <v>45288</v>
      </c>
      <c r="C946" t="s">
        <v>14</v>
      </c>
      <c r="D946" t="s">
        <v>21</v>
      </c>
      <c r="E946">
        <v>1837.37</v>
      </c>
      <c r="F946">
        <v>46</v>
      </c>
      <c r="G946" t="s">
        <v>16</v>
      </c>
      <c r="H946">
        <v>83.86</v>
      </c>
      <c r="I946">
        <v>526.14</v>
      </c>
      <c r="J946">
        <f>Table2[[#This Row],[Sales_Amount]]-(Table2[[#This Row],[Quantity_Sold]]*Table2[[#This Row],[Unit_Cost]])</f>
        <v>-2020.19</v>
      </c>
    </row>
    <row r="947" spans="1:10" x14ac:dyDescent="0.3">
      <c r="A947">
        <v>1056</v>
      </c>
      <c r="B947" s="1">
        <v>44940</v>
      </c>
      <c r="C947" t="s">
        <v>33</v>
      </c>
      <c r="D947" t="s">
        <v>21</v>
      </c>
      <c r="E947">
        <v>5720.5</v>
      </c>
      <c r="F947">
        <v>25</v>
      </c>
      <c r="G947" t="s">
        <v>26</v>
      </c>
      <c r="H947">
        <v>2361.7399999999998</v>
      </c>
      <c r="I947">
        <v>2584.35</v>
      </c>
      <c r="J947">
        <f>Table2[[#This Row],[Sales_Amount]]-(Table2[[#This Row],[Quantity_Sold]]*Table2[[#This Row],[Unit_Cost]])</f>
        <v>-53322.999999999993</v>
      </c>
    </row>
    <row r="948" spans="1:10" x14ac:dyDescent="0.3">
      <c r="A948">
        <v>1094</v>
      </c>
      <c r="B948" s="1">
        <v>44938</v>
      </c>
      <c r="C948" t="s">
        <v>38</v>
      </c>
      <c r="D948" t="s">
        <v>21</v>
      </c>
      <c r="E948">
        <v>5835.21</v>
      </c>
      <c r="F948">
        <v>38</v>
      </c>
      <c r="G948" t="s">
        <v>26</v>
      </c>
      <c r="H948">
        <v>3443.98</v>
      </c>
      <c r="I948">
        <v>3820.3</v>
      </c>
      <c r="J948">
        <f>Table2[[#This Row],[Sales_Amount]]-(Table2[[#This Row],[Quantity_Sold]]*Table2[[#This Row],[Unit_Cost]])</f>
        <v>-125036.03</v>
      </c>
    </row>
    <row r="949" spans="1:10" x14ac:dyDescent="0.3">
      <c r="A949">
        <v>1063</v>
      </c>
      <c r="B949" s="1">
        <v>45013</v>
      </c>
      <c r="C949" t="s">
        <v>33</v>
      </c>
      <c r="D949" t="s">
        <v>25</v>
      </c>
      <c r="E949">
        <v>4947.28</v>
      </c>
      <c r="F949">
        <v>42</v>
      </c>
      <c r="G949" t="s">
        <v>26</v>
      </c>
      <c r="H949">
        <v>1170.07</v>
      </c>
      <c r="I949">
        <v>1669.94999999999</v>
      </c>
      <c r="J949">
        <f>Table2[[#This Row],[Sales_Amount]]-(Table2[[#This Row],[Quantity_Sold]]*Table2[[#This Row],[Unit_Cost]])</f>
        <v>-44195.659999999996</v>
      </c>
    </row>
    <row r="950" spans="1:10" x14ac:dyDescent="0.3">
      <c r="A950">
        <v>1048</v>
      </c>
      <c r="B950" s="1">
        <v>44938</v>
      </c>
      <c r="C950" t="s">
        <v>33</v>
      </c>
      <c r="D950" t="s">
        <v>34</v>
      </c>
      <c r="E950">
        <v>6482.98</v>
      </c>
      <c r="F950">
        <v>47</v>
      </c>
      <c r="G950" t="s">
        <v>29</v>
      </c>
      <c r="H950">
        <v>702.44</v>
      </c>
      <c r="I950">
        <v>1067.6600000000001</v>
      </c>
      <c r="J950">
        <f>Table2[[#This Row],[Sales_Amount]]-(Table2[[#This Row],[Quantity_Sold]]*Table2[[#This Row],[Unit_Cost]])</f>
        <v>-26531.7</v>
      </c>
    </row>
    <row r="951" spans="1:10" x14ac:dyDescent="0.3">
      <c r="A951">
        <v>1061</v>
      </c>
      <c r="B951" s="1">
        <v>44951</v>
      </c>
      <c r="C951" t="s">
        <v>14</v>
      </c>
      <c r="D951" t="s">
        <v>34</v>
      </c>
      <c r="E951">
        <v>2375.2800000000002</v>
      </c>
      <c r="F951">
        <v>38</v>
      </c>
      <c r="G951" t="s">
        <v>16</v>
      </c>
      <c r="H951">
        <v>4440.8599999999997</v>
      </c>
      <c r="I951">
        <v>4506.8099999999904</v>
      </c>
      <c r="J951">
        <f>Table2[[#This Row],[Sales_Amount]]-(Table2[[#This Row],[Quantity_Sold]]*Table2[[#This Row],[Unit_Cost]])</f>
        <v>-166377.4</v>
      </c>
    </row>
    <row r="952" spans="1:10" x14ac:dyDescent="0.3">
      <c r="A952">
        <v>1081</v>
      </c>
      <c r="B952" s="1">
        <v>45227</v>
      </c>
      <c r="C952" t="s">
        <v>33</v>
      </c>
      <c r="D952" t="s">
        <v>15</v>
      </c>
      <c r="E952">
        <v>5571.36</v>
      </c>
      <c r="F952">
        <v>23</v>
      </c>
      <c r="G952" t="s">
        <v>26</v>
      </c>
      <c r="H952">
        <v>1411.37</v>
      </c>
      <c r="I952">
        <v>1675.35</v>
      </c>
      <c r="J952">
        <f>Table2[[#This Row],[Sales_Amount]]-(Table2[[#This Row],[Quantity_Sold]]*Table2[[#This Row],[Unit_Cost]])</f>
        <v>-26890.149999999998</v>
      </c>
    </row>
    <row r="953" spans="1:10" x14ac:dyDescent="0.3">
      <c r="A953">
        <v>1026</v>
      </c>
      <c r="B953" s="1">
        <v>45169</v>
      </c>
      <c r="C953" t="s">
        <v>42</v>
      </c>
      <c r="D953" t="s">
        <v>34</v>
      </c>
      <c r="E953">
        <v>3784.52</v>
      </c>
      <c r="F953">
        <v>25</v>
      </c>
      <c r="G953" t="s">
        <v>35</v>
      </c>
      <c r="H953">
        <v>1156.8800000000001</v>
      </c>
      <c r="I953">
        <v>1454.68</v>
      </c>
      <c r="J953">
        <f>Table2[[#This Row],[Sales_Amount]]-(Table2[[#This Row],[Quantity_Sold]]*Table2[[#This Row],[Unit_Cost]])</f>
        <v>-25137.480000000003</v>
      </c>
    </row>
    <row r="954" spans="1:10" x14ac:dyDescent="0.3">
      <c r="A954">
        <v>1036</v>
      </c>
      <c r="B954" s="1">
        <v>45048</v>
      </c>
      <c r="C954" t="s">
        <v>24</v>
      </c>
      <c r="D954" t="s">
        <v>15</v>
      </c>
      <c r="E954">
        <v>6650.51</v>
      </c>
      <c r="F954">
        <v>42</v>
      </c>
      <c r="G954" t="s">
        <v>16</v>
      </c>
      <c r="H954">
        <v>4292.63</v>
      </c>
      <c r="I954">
        <v>4387.99</v>
      </c>
      <c r="J954">
        <f>Table2[[#This Row],[Sales_Amount]]-(Table2[[#This Row],[Quantity_Sold]]*Table2[[#This Row],[Unit_Cost]])</f>
        <v>-173639.94999999998</v>
      </c>
    </row>
    <row r="955" spans="1:10" x14ac:dyDescent="0.3">
      <c r="A955">
        <v>1001</v>
      </c>
      <c r="B955" s="1">
        <v>45073</v>
      </c>
      <c r="C955" t="s">
        <v>42</v>
      </c>
      <c r="D955" t="s">
        <v>25</v>
      </c>
      <c r="E955">
        <v>1498.11</v>
      </c>
      <c r="F955">
        <v>7</v>
      </c>
      <c r="G955" t="s">
        <v>35</v>
      </c>
      <c r="H955">
        <v>4094.68</v>
      </c>
      <c r="I955">
        <v>4576.5</v>
      </c>
      <c r="J955">
        <f>Table2[[#This Row],[Sales_Amount]]-(Table2[[#This Row],[Quantity_Sold]]*Table2[[#This Row],[Unit_Cost]])</f>
        <v>-27164.649999999998</v>
      </c>
    </row>
    <row r="956" spans="1:10" x14ac:dyDescent="0.3">
      <c r="A956">
        <v>1008</v>
      </c>
      <c r="B956" s="1">
        <v>44981</v>
      </c>
      <c r="C956" t="s">
        <v>38</v>
      </c>
      <c r="D956" t="s">
        <v>21</v>
      </c>
      <c r="E956">
        <v>5751.69</v>
      </c>
      <c r="F956">
        <v>22</v>
      </c>
      <c r="G956" t="s">
        <v>35</v>
      </c>
      <c r="H956">
        <v>2269.3200000000002</v>
      </c>
      <c r="I956">
        <v>2365.35</v>
      </c>
      <c r="J956">
        <f>Table2[[#This Row],[Sales_Amount]]-(Table2[[#This Row],[Quantity_Sold]]*Table2[[#This Row],[Unit_Cost]])</f>
        <v>-44173.35</v>
      </c>
    </row>
    <row r="957" spans="1:10" x14ac:dyDescent="0.3">
      <c r="A957">
        <v>1099</v>
      </c>
      <c r="B957" s="1">
        <v>45164</v>
      </c>
      <c r="C957" t="s">
        <v>24</v>
      </c>
      <c r="D957" t="s">
        <v>21</v>
      </c>
      <c r="E957">
        <v>1934.18</v>
      </c>
      <c r="F957">
        <v>17</v>
      </c>
      <c r="G957" t="s">
        <v>26</v>
      </c>
      <c r="H957">
        <v>2471.73</v>
      </c>
      <c r="I957">
        <v>2568.73</v>
      </c>
      <c r="J957">
        <f>Table2[[#This Row],[Sales_Amount]]-(Table2[[#This Row],[Quantity_Sold]]*Table2[[#This Row],[Unit_Cost]])</f>
        <v>-40085.230000000003</v>
      </c>
    </row>
    <row r="958" spans="1:10" x14ac:dyDescent="0.3">
      <c r="A958">
        <v>1052</v>
      </c>
      <c r="B958" s="1">
        <v>45282</v>
      </c>
      <c r="C958" t="s">
        <v>33</v>
      </c>
      <c r="D958" t="s">
        <v>21</v>
      </c>
      <c r="E958">
        <v>2858.57</v>
      </c>
      <c r="F958">
        <v>18</v>
      </c>
      <c r="G958" t="s">
        <v>26</v>
      </c>
      <c r="H958">
        <v>1127.8599999999999</v>
      </c>
      <c r="I958">
        <v>1586.29</v>
      </c>
      <c r="J958">
        <f>Table2[[#This Row],[Sales_Amount]]-(Table2[[#This Row],[Quantity_Sold]]*Table2[[#This Row],[Unit_Cost]])</f>
        <v>-17442.91</v>
      </c>
    </row>
    <row r="959" spans="1:10" x14ac:dyDescent="0.3">
      <c r="A959">
        <v>1079</v>
      </c>
      <c r="B959" s="1">
        <v>45099</v>
      </c>
      <c r="C959" t="s">
        <v>38</v>
      </c>
      <c r="D959" t="s">
        <v>34</v>
      </c>
      <c r="E959">
        <v>2265.23</v>
      </c>
      <c r="F959">
        <v>49</v>
      </c>
      <c r="G959" t="s">
        <v>29</v>
      </c>
      <c r="H959">
        <v>437.59</v>
      </c>
      <c r="I959">
        <v>675.54</v>
      </c>
      <c r="J959">
        <f>Table2[[#This Row],[Sales_Amount]]-(Table2[[#This Row],[Quantity_Sold]]*Table2[[#This Row],[Unit_Cost]])</f>
        <v>-19176.68</v>
      </c>
    </row>
    <row r="960" spans="1:10" x14ac:dyDescent="0.3">
      <c r="A960">
        <v>1047</v>
      </c>
      <c r="B960" s="1">
        <v>45147</v>
      </c>
      <c r="C960" t="s">
        <v>24</v>
      </c>
      <c r="D960" t="s">
        <v>15</v>
      </c>
      <c r="E960">
        <v>1910.09</v>
      </c>
      <c r="F960">
        <v>41</v>
      </c>
      <c r="G960" t="s">
        <v>29</v>
      </c>
      <c r="H960">
        <v>2888.49</v>
      </c>
      <c r="I960">
        <v>2929.45</v>
      </c>
      <c r="J960">
        <f>Table2[[#This Row],[Sales_Amount]]-(Table2[[#This Row],[Quantity_Sold]]*Table2[[#This Row],[Unit_Cost]])</f>
        <v>-116518</v>
      </c>
    </row>
    <row r="961" spans="1:10" x14ac:dyDescent="0.3">
      <c r="A961">
        <v>1056</v>
      </c>
      <c r="B961" s="1">
        <v>45045</v>
      </c>
      <c r="C961" t="s">
        <v>33</v>
      </c>
      <c r="D961" t="s">
        <v>15</v>
      </c>
      <c r="E961">
        <v>8274.5400000000009</v>
      </c>
      <c r="F961">
        <v>10</v>
      </c>
      <c r="G961" t="s">
        <v>29</v>
      </c>
      <c r="H961">
        <v>536.80999999999995</v>
      </c>
      <c r="I961">
        <v>839.92</v>
      </c>
      <c r="J961">
        <f>Table2[[#This Row],[Sales_Amount]]-(Table2[[#This Row],[Quantity_Sold]]*Table2[[#This Row],[Unit_Cost]])</f>
        <v>2906.4400000000014</v>
      </c>
    </row>
    <row r="962" spans="1:10" x14ac:dyDescent="0.3">
      <c r="A962">
        <v>1086</v>
      </c>
      <c r="B962" s="1">
        <v>45235</v>
      </c>
      <c r="C962" t="s">
        <v>42</v>
      </c>
      <c r="D962" t="s">
        <v>25</v>
      </c>
      <c r="E962">
        <v>2928.5</v>
      </c>
      <c r="F962">
        <v>10</v>
      </c>
      <c r="G962" t="s">
        <v>16</v>
      </c>
      <c r="H962">
        <v>2273.91</v>
      </c>
      <c r="I962">
        <v>2578.7999999999902</v>
      </c>
      <c r="J962">
        <f>Table2[[#This Row],[Sales_Amount]]-(Table2[[#This Row],[Quantity_Sold]]*Table2[[#This Row],[Unit_Cost]])</f>
        <v>-19810.599999999999</v>
      </c>
    </row>
    <row r="963" spans="1:10" x14ac:dyDescent="0.3">
      <c r="A963">
        <v>1014</v>
      </c>
      <c r="B963" s="1">
        <v>45109</v>
      </c>
      <c r="C963" t="s">
        <v>24</v>
      </c>
      <c r="D963" t="s">
        <v>34</v>
      </c>
      <c r="E963">
        <v>9278.5300000000007</v>
      </c>
      <c r="F963">
        <v>7</v>
      </c>
      <c r="G963" t="s">
        <v>29</v>
      </c>
      <c r="H963">
        <v>4705.46</v>
      </c>
      <c r="I963">
        <v>4747.07</v>
      </c>
      <c r="J963">
        <f>Table2[[#This Row],[Sales_Amount]]-(Table2[[#This Row],[Quantity_Sold]]*Table2[[#This Row],[Unit_Cost]])</f>
        <v>-23659.690000000002</v>
      </c>
    </row>
    <row r="964" spans="1:10" x14ac:dyDescent="0.3">
      <c r="A964">
        <v>1090</v>
      </c>
      <c r="B964" s="1">
        <v>45214</v>
      </c>
      <c r="C964" t="s">
        <v>33</v>
      </c>
      <c r="D964" t="s">
        <v>25</v>
      </c>
      <c r="E964">
        <v>9702.27</v>
      </c>
      <c r="F964">
        <v>48</v>
      </c>
      <c r="G964" t="s">
        <v>35</v>
      </c>
      <c r="H964">
        <v>4766.53</v>
      </c>
      <c r="I964">
        <v>5253.07</v>
      </c>
      <c r="J964">
        <f>Table2[[#This Row],[Sales_Amount]]-(Table2[[#This Row],[Quantity_Sold]]*Table2[[#This Row],[Unit_Cost]])</f>
        <v>-219091.17</v>
      </c>
    </row>
    <row r="965" spans="1:10" x14ac:dyDescent="0.3">
      <c r="A965">
        <v>1028</v>
      </c>
      <c r="B965" s="1">
        <v>45233</v>
      </c>
      <c r="C965" t="s">
        <v>42</v>
      </c>
      <c r="D965" t="s">
        <v>15</v>
      </c>
      <c r="E965">
        <v>5755.48</v>
      </c>
      <c r="F965">
        <v>38</v>
      </c>
      <c r="G965" t="s">
        <v>29</v>
      </c>
      <c r="H965">
        <v>1234.69</v>
      </c>
      <c r="I965">
        <v>1511.26</v>
      </c>
      <c r="J965">
        <f>Table2[[#This Row],[Sales_Amount]]-(Table2[[#This Row],[Quantity_Sold]]*Table2[[#This Row],[Unit_Cost]])</f>
        <v>-41162.740000000005</v>
      </c>
    </row>
    <row r="966" spans="1:10" x14ac:dyDescent="0.3">
      <c r="A966">
        <v>1087</v>
      </c>
      <c r="B966" s="1">
        <v>45226</v>
      </c>
      <c r="C966" t="s">
        <v>38</v>
      </c>
      <c r="D966" t="s">
        <v>15</v>
      </c>
      <c r="E966">
        <v>1515.71</v>
      </c>
      <c r="F966">
        <v>27</v>
      </c>
      <c r="G966" t="s">
        <v>26</v>
      </c>
      <c r="H966">
        <v>3139.36</v>
      </c>
      <c r="I966">
        <v>3423.66</v>
      </c>
      <c r="J966">
        <f>Table2[[#This Row],[Sales_Amount]]-(Table2[[#This Row],[Quantity_Sold]]*Table2[[#This Row],[Unit_Cost]])</f>
        <v>-83247.009999999995</v>
      </c>
    </row>
    <row r="967" spans="1:10" x14ac:dyDescent="0.3">
      <c r="A967">
        <v>1078</v>
      </c>
      <c r="B967" s="1">
        <v>45008</v>
      </c>
      <c r="C967" t="s">
        <v>38</v>
      </c>
      <c r="D967" t="s">
        <v>21</v>
      </c>
      <c r="E967">
        <v>3808.03</v>
      </c>
      <c r="F967">
        <v>33</v>
      </c>
      <c r="G967" t="s">
        <v>29</v>
      </c>
      <c r="H967">
        <v>2396.6799999999998</v>
      </c>
      <c r="I967">
        <v>2661.54</v>
      </c>
      <c r="J967">
        <f>Table2[[#This Row],[Sales_Amount]]-(Table2[[#This Row],[Quantity_Sold]]*Table2[[#This Row],[Unit_Cost]])</f>
        <v>-75282.409999999989</v>
      </c>
    </row>
    <row r="968" spans="1:10" x14ac:dyDescent="0.3">
      <c r="A968">
        <v>1088</v>
      </c>
      <c r="B968" s="1">
        <v>45137</v>
      </c>
      <c r="C968" t="s">
        <v>38</v>
      </c>
      <c r="D968" t="s">
        <v>34</v>
      </c>
      <c r="E968">
        <v>7997.55</v>
      </c>
      <c r="F968">
        <v>1</v>
      </c>
      <c r="G968" t="s">
        <v>16</v>
      </c>
      <c r="H968">
        <v>4384.6400000000003</v>
      </c>
      <c r="I968">
        <v>4693.8999999999996</v>
      </c>
      <c r="J968">
        <f>Table2[[#This Row],[Sales_Amount]]-(Table2[[#This Row],[Quantity_Sold]]*Table2[[#This Row],[Unit_Cost]])</f>
        <v>3612.91</v>
      </c>
    </row>
    <row r="969" spans="1:10" x14ac:dyDescent="0.3">
      <c r="A969">
        <v>1002</v>
      </c>
      <c r="B969" s="1">
        <v>45076</v>
      </c>
      <c r="C969" t="s">
        <v>38</v>
      </c>
      <c r="D969" t="s">
        <v>15</v>
      </c>
      <c r="E969">
        <v>3737.17</v>
      </c>
      <c r="F969">
        <v>44</v>
      </c>
      <c r="G969" t="s">
        <v>16</v>
      </c>
      <c r="H969">
        <v>1393.58</v>
      </c>
      <c r="I969">
        <v>1533.09</v>
      </c>
      <c r="J969">
        <f>Table2[[#This Row],[Sales_Amount]]-(Table2[[#This Row],[Quantity_Sold]]*Table2[[#This Row],[Unit_Cost]])</f>
        <v>-57580.35</v>
      </c>
    </row>
    <row r="970" spans="1:10" x14ac:dyDescent="0.3">
      <c r="A970">
        <v>1026</v>
      </c>
      <c r="B970" s="1">
        <v>44963</v>
      </c>
      <c r="C970" t="s">
        <v>14</v>
      </c>
      <c r="D970" t="s">
        <v>21</v>
      </c>
      <c r="E970">
        <v>961.47</v>
      </c>
      <c r="F970">
        <v>34</v>
      </c>
      <c r="G970" t="s">
        <v>35</v>
      </c>
      <c r="H970">
        <v>68.33</v>
      </c>
      <c r="I970">
        <v>219.07999999999899</v>
      </c>
      <c r="J970">
        <f>Table2[[#This Row],[Sales_Amount]]-(Table2[[#This Row],[Quantity_Sold]]*Table2[[#This Row],[Unit_Cost]])</f>
        <v>-1361.7499999999998</v>
      </c>
    </row>
    <row r="971" spans="1:10" x14ac:dyDescent="0.3">
      <c r="A971">
        <v>1014</v>
      </c>
      <c r="B971" s="1">
        <v>45278</v>
      </c>
      <c r="C971" t="s">
        <v>24</v>
      </c>
      <c r="D971" t="s">
        <v>34</v>
      </c>
      <c r="E971">
        <v>5612.17</v>
      </c>
      <c r="F971">
        <v>4</v>
      </c>
      <c r="G971" t="s">
        <v>16</v>
      </c>
      <c r="H971">
        <v>854.68</v>
      </c>
      <c r="I971">
        <v>1115.24</v>
      </c>
      <c r="J971">
        <f>Table2[[#This Row],[Sales_Amount]]-(Table2[[#This Row],[Quantity_Sold]]*Table2[[#This Row],[Unit_Cost]])</f>
        <v>2193.4500000000003</v>
      </c>
    </row>
    <row r="972" spans="1:10" x14ac:dyDescent="0.3">
      <c r="A972">
        <v>1059</v>
      </c>
      <c r="B972" s="1">
        <v>45238</v>
      </c>
      <c r="C972" t="s">
        <v>24</v>
      </c>
      <c r="D972" t="s">
        <v>25</v>
      </c>
      <c r="E972">
        <v>8466.7000000000007</v>
      </c>
      <c r="F972">
        <v>17</v>
      </c>
      <c r="G972" t="s">
        <v>29</v>
      </c>
      <c r="H972">
        <v>1780.14</v>
      </c>
      <c r="I972">
        <v>2185.42</v>
      </c>
      <c r="J972">
        <f>Table2[[#This Row],[Sales_Amount]]-(Table2[[#This Row],[Quantity_Sold]]*Table2[[#This Row],[Unit_Cost]])</f>
        <v>-21795.68</v>
      </c>
    </row>
    <row r="973" spans="1:10" x14ac:dyDescent="0.3">
      <c r="A973">
        <v>1056</v>
      </c>
      <c r="B973" s="1">
        <v>45287</v>
      </c>
      <c r="C973" t="s">
        <v>14</v>
      </c>
      <c r="D973" t="s">
        <v>34</v>
      </c>
      <c r="E973">
        <v>7979.67</v>
      </c>
      <c r="F973">
        <v>4</v>
      </c>
      <c r="G973" t="s">
        <v>26</v>
      </c>
      <c r="H973">
        <v>1612.82</v>
      </c>
      <c r="I973">
        <v>1647.25</v>
      </c>
      <c r="J973">
        <f>Table2[[#This Row],[Sales_Amount]]-(Table2[[#This Row],[Quantity_Sold]]*Table2[[#This Row],[Unit_Cost]])</f>
        <v>1528.3900000000003</v>
      </c>
    </row>
    <row r="974" spans="1:10" x14ac:dyDescent="0.3">
      <c r="A974">
        <v>1007</v>
      </c>
      <c r="B974" s="1">
        <v>44985</v>
      </c>
      <c r="C974" t="s">
        <v>33</v>
      </c>
      <c r="D974" t="s">
        <v>34</v>
      </c>
      <c r="E974">
        <v>1833.72</v>
      </c>
      <c r="F974">
        <v>43</v>
      </c>
      <c r="G974" t="s">
        <v>16</v>
      </c>
      <c r="H974">
        <v>3967.25</v>
      </c>
      <c r="I974">
        <v>4272.92</v>
      </c>
      <c r="J974">
        <f>Table2[[#This Row],[Sales_Amount]]-(Table2[[#This Row],[Quantity_Sold]]*Table2[[#This Row],[Unit_Cost]])</f>
        <v>-168758.03</v>
      </c>
    </row>
    <row r="975" spans="1:10" x14ac:dyDescent="0.3">
      <c r="A975">
        <v>1003</v>
      </c>
      <c r="B975" s="1">
        <v>45057</v>
      </c>
      <c r="C975" t="s">
        <v>33</v>
      </c>
      <c r="D975" t="s">
        <v>15</v>
      </c>
      <c r="E975">
        <v>6760.37</v>
      </c>
      <c r="F975">
        <v>26</v>
      </c>
      <c r="G975" t="s">
        <v>35</v>
      </c>
      <c r="H975">
        <v>3418.78</v>
      </c>
      <c r="I975">
        <v>3824.1</v>
      </c>
      <c r="J975">
        <f>Table2[[#This Row],[Sales_Amount]]-(Table2[[#This Row],[Quantity_Sold]]*Table2[[#This Row],[Unit_Cost]])</f>
        <v>-82127.91</v>
      </c>
    </row>
    <row r="976" spans="1:10" x14ac:dyDescent="0.3">
      <c r="A976">
        <v>1023</v>
      </c>
      <c r="B976" s="1">
        <v>45128</v>
      </c>
      <c r="C976" t="s">
        <v>38</v>
      </c>
      <c r="D976" t="s">
        <v>15</v>
      </c>
      <c r="E976">
        <v>2282.9899999999998</v>
      </c>
      <c r="F976">
        <v>4</v>
      </c>
      <c r="G976" t="s">
        <v>29</v>
      </c>
      <c r="H976">
        <v>1532.8</v>
      </c>
      <c r="I976">
        <v>1619.69</v>
      </c>
      <c r="J976">
        <f>Table2[[#This Row],[Sales_Amount]]-(Table2[[#This Row],[Quantity_Sold]]*Table2[[#This Row],[Unit_Cost]])</f>
        <v>-3848.21</v>
      </c>
    </row>
    <row r="977" spans="1:10" x14ac:dyDescent="0.3">
      <c r="A977">
        <v>1018</v>
      </c>
      <c r="B977" s="1">
        <v>45169</v>
      </c>
      <c r="C977" t="s">
        <v>42</v>
      </c>
      <c r="D977" t="s">
        <v>34</v>
      </c>
      <c r="E977">
        <v>2260.25</v>
      </c>
      <c r="F977">
        <v>1</v>
      </c>
      <c r="G977" t="s">
        <v>35</v>
      </c>
      <c r="H977">
        <v>2315.83</v>
      </c>
      <c r="I977">
        <v>2333.19</v>
      </c>
      <c r="J977">
        <f>Table2[[#This Row],[Sales_Amount]]-(Table2[[#This Row],[Quantity_Sold]]*Table2[[#This Row],[Unit_Cost]])</f>
        <v>-55.579999999999927</v>
      </c>
    </row>
    <row r="978" spans="1:10" x14ac:dyDescent="0.3">
      <c r="A978">
        <v>1038</v>
      </c>
      <c r="B978" s="1">
        <v>44961</v>
      </c>
      <c r="C978" t="s">
        <v>33</v>
      </c>
      <c r="D978" t="s">
        <v>15</v>
      </c>
      <c r="E978">
        <v>8753.31</v>
      </c>
      <c r="F978">
        <v>7</v>
      </c>
      <c r="G978" t="s">
        <v>16</v>
      </c>
      <c r="H978">
        <v>523.02</v>
      </c>
      <c r="I978">
        <v>686.25</v>
      </c>
      <c r="J978">
        <f>Table2[[#This Row],[Sales_Amount]]-(Table2[[#This Row],[Quantity_Sold]]*Table2[[#This Row],[Unit_Cost]])</f>
        <v>5092.17</v>
      </c>
    </row>
    <row r="979" spans="1:10" x14ac:dyDescent="0.3">
      <c r="A979">
        <v>1099</v>
      </c>
      <c r="B979" s="1">
        <v>45019</v>
      </c>
      <c r="C979" t="s">
        <v>42</v>
      </c>
      <c r="D979" t="s">
        <v>15</v>
      </c>
      <c r="E979">
        <v>2571.7199999999998</v>
      </c>
      <c r="F979">
        <v>30</v>
      </c>
      <c r="G979" t="s">
        <v>16</v>
      </c>
      <c r="H979">
        <v>4495.82</v>
      </c>
      <c r="I979">
        <v>4794.0099999999902</v>
      </c>
      <c r="J979">
        <f>Table2[[#This Row],[Sales_Amount]]-(Table2[[#This Row],[Quantity_Sold]]*Table2[[#This Row],[Unit_Cost]])</f>
        <v>-132302.87999999998</v>
      </c>
    </row>
    <row r="980" spans="1:10" x14ac:dyDescent="0.3">
      <c r="A980">
        <v>1015</v>
      </c>
      <c r="B980" s="1">
        <v>45133</v>
      </c>
      <c r="C980" t="s">
        <v>24</v>
      </c>
      <c r="D980" t="s">
        <v>15</v>
      </c>
      <c r="E980">
        <v>2706.15</v>
      </c>
      <c r="F980">
        <v>9</v>
      </c>
      <c r="G980" t="s">
        <v>35</v>
      </c>
      <c r="H980">
        <v>4680.3500000000004</v>
      </c>
      <c r="I980">
        <v>4758.1099999999997</v>
      </c>
      <c r="J980">
        <f>Table2[[#This Row],[Sales_Amount]]-(Table2[[#This Row],[Quantity_Sold]]*Table2[[#This Row],[Unit_Cost]])</f>
        <v>-39417</v>
      </c>
    </row>
    <row r="981" spans="1:10" x14ac:dyDescent="0.3">
      <c r="A981">
        <v>1064</v>
      </c>
      <c r="B981" s="1">
        <v>45279</v>
      </c>
      <c r="C981" t="s">
        <v>42</v>
      </c>
      <c r="D981" t="s">
        <v>21</v>
      </c>
      <c r="E981">
        <v>106.47</v>
      </c>
      <c r="F981">
        <v>35</v>
      </c>
      <c r="G981" t="s">
        <v>29</v>
      </c>
      <c r="H981">
        <v>4900.03</v>
      </c>
      <c r="I981">
        <v>5118.83</v>
      </c>
      <c r="J981">
        <f>Table2[[#This Row],[Sales_Amount]]-(Table2[[#This Row],[Quantity_Sold]]*Table2[[#This Row],[Unit_Cost]])</f>
        <v>-171394.58</v>
      </c>
    </row>
    <row r="982" spans="1:10" x14ac:dyDescent="0.3">
      <c r="A982">
        <v>1089</v>
      </c>
      <c r="B982" s="1">
        <v>45258</v>
      </c>
      <c r="C982" t="s">
        <v>24</v>
      </c>
      <c r="D982" t="s">
        <v>21</v>
      </c>
      <c r="E982">
        <v>8719.6200000000008</v>
      </c>
      <c r="F982">
        <v>8</v>
      </c>
      <c r="G982" t="s">
        <v>16</v>
      </c>
      <c r="H982">
        <v>4349.34</v>
      </c>
      <c r="I982">
        <v>4629.9799999999996</v>
      </c>
      <c r="J982">
        <f>Table2[[#This Row],[Sales_Amount]]-(Table2[[#This Row],[Quantity_Sold]]*Table2[[#This Row],[Unit_Cost]])</f>
        <v>-26075.1</v>
      </c>
    </row>
    <row r="983" spans="1:10" x14ac:dyDescent="0.3">
      <c r="A983">
        <v>1028</v>
      </c>
      <c r="B983" s="1">
        <v>45231</v>
      </c>
      <c r="C983" t="s">
        <v>14</v>
      </c>
      <c r="D983" t="s">
        <v>34</v>
      </c>
      <c r="E983">
        <v>7946.69</v>
      </c>
      <c r="F983">
        <v>24</v>
      </c>
      <c r="G983" t="s">
        <v>26</v>
      </c>
      <c r="H983">
        <v>911.11</v>
      </c>
      <c r="I983">
        <v>1214.56</v>
      </c>
      <c r="J983">
        <f>Table2[[#This Row],[Sales_Amount]]-(Table2[[#This Row],[Quantity_Sold]]*Table2[[#This Row],[Unit_Cost]])</f>
        <v>-13919.95</v>
      </c>
    </row>
    <row r="984" spans="1:10" x14ac:dyDescent="0.3">
      <c r="A984">
        <v>1074</v>
      </c>
      <c r="B984" s="1">
        <v>45276</v>
      </c>
      <c r="C984" t="s">
        <v>14</v>
      </c>
      <c r="D984" t="s">
        <v>15</v>
      </c>
      <c r="E984">
        <v>6310.56</v>
      </c>
      <c r="F984">
        <v>19</v>
      </c>
      <c r="G984" t="s">
        <v>16</v>
      </c>
      <c r="H984">
        <v>278.67</v>
      </c>
      <c r="I984">
        <v>423.13</v>
      </c>
      <c r="J984">
        <f>Table2[[#This Row],[Sales_Amount]]-(Table2[[#This Row],[Quantity_Sold]]*Table2[[#This Row],[Unit_Cost]])</f>
        <v>1015.8299999999999</v>
      </c>
    </row>
    <row r="985" spans="1:10" x14ac:dyDescent="0.3">
      <c r="A985">
        <v>1039</v>
      </c>
      <c r="B985" s="1">
        <v>45139</v>
      </c>
      <c r="C985" t="s">
        <v>38</v>
      </c>
      <c r="D985" t="s">
        <v>21</v>
      </c>
      <c r="E985">
        <v>7527.63</v>
      </c>
      <c r="F985">
        <v>36</v>
      </c>
      <c r="G985" t="s">
        <v>29</v>
      </c>
      <c r="H985">
        <v>2919</v>
      </c>
      <c r="I985">
        <v>3125.01</v>
      </c>
      <c r="J985">
        <f>Table2[[#This Row],[Sales_Amount]]-(Table2[[#This Row],[Quantity_Sold]]*Table2[[#This Row],[Unit_Cost]])</f>
        <v>-97556.37</v>
      </c>
    </row>
    <row r="986" spans="1:10" x14ac:dyDescent="0.3">
      <c r="A986">
        <v>1057</v>
      </c>
      <c r="B986" s="1">
        <v>45085</v>
      </c>
      <c r="C986" t="s">
        <v>33</v>
      </c>
      <c r="D986" t="s">
        <v>34</v>
      </c>
      <c r="E986">
        <v>1605.28</v>
      </c>
      <c r="F986">
        <v>43</v>
      </c>
      <c r="G986" t="s">
        <v>16</v>
      </c>
      <c r="H986">
        <v>4567.3900000000003</v>
      </c>
      <c r="I986">
        <v>4958.78</v>
      </c>
      <c r="J986">
        <f>Table2[[#This Row],[Sales_Amount]]-(Table2[[#This Row],[Quantity_Sold]]*Table2[[#This Row],[Unit_Cost]])</f>
        <v>-194792.49000000002</v>
      </c>
    </row>
    <row r="987" spans="1:10" x14ac:dyDescent="0.3">
      <c r="A987">
        <v>1017</v>
      </c>
      <c r="B987" s="1">
        <v>44950</v>
      </c>
      <c r="C987" t="s">
        <v>38</v>
      </c>
      <c r="D987" t="s">
        <v>15</v>
      </c>
      <c r="E987">
        <v>4637.3999999999996</v>
      </c>
      <c r="F987">
        <v>27</v>
      </c>
      <c r="G987" t="s">
        <v>35</v>
      </c>
      <c r="H987">
        <v>927.89</v>
      </c>
      <c r="I987">
        <v>1399.09</v>
      </c>
      <c r="J987">
        <f>Table2[[#This Row],[Sales_Amount]]-(Table2[[#This Row],[Quantity_Sold]]*Table2[[#This Row],[Unit_Cost]])</f>
        <v>-20415.629999999997</v>
      </c>
    </row>
    <row r="988" spans="1:10" x14ac:dyDescent="0.3">
      <c r="A988">
        <v>1086</v>
      </c>
      <c r="B988" s="1">
        <v>45219</v>
      </c>
      <c r="C988" t="s">
        <v>24</v>
      </c>
      <c r="D988" t="s">
        <v>25</v>
      </c>
      <c r="E988">
        <v>3577.07</v>
      </c>
      <c r="F988">
        <v>32</v>
      </c>
      <c r="G988" t="s">
        <v>16</v>
      </c>
      <c r="H988">
        <v>84.86</v>
      </c>
      <c r="I988">
        <v>517.17999999999995</v>
      </c>
      <c r="J988">
        <f>Table2[[#This Row],[Sales_Amount]]-(Table2[[#This Row],[Quantity_Sold]]*Table2[[#This Row],[Unit_Cost]])</f>
        <v>861.55000000000018</v>
      </c>
    </row>
    <row r="989" spans="1:10" x14ac:dyDescent="0.3">
      <c r="A989">
        <v>1090</v>
      </c>
      <c r="B989" s="1">
        <v>44930</v>
      </c>
      <c r="C989" t="s">
        <v>38</v>
      </c>
      <c r="D989" t="s">
        <v>15</v>
      </c>
      <c r="E989">
        <v>1028.3900000000001</v>
      </c>
      <c r="F989">
        <v>14</v>
      </c>
      <c r="G989" t="s">
        <v>16</v>
      </c>
      <c r="H989">
        <v>4037.21</v>
      </c>
      <c r="I989">
        <v>4323.71</v>
      </c>
      <c r="J989">
        <f>Table2[[#This Row],[Sales_Amount]]-(Table2[[#This Row],[Quantity_Sold]]*Table2[[#This Row],[Unit_Cost]])</f>
        <v>-55492.55</v>
      </c>
    </row>
    <row r="990" spans="1:10" x14ac:dyDescent="0.3">
      <c r="A990">
        <v>1044</v>
      </c>
      <c r="B990" s="1">
        <v>45146</v>
      </c>
      <c r="C990" t="s">
        <v>42</v>
      </c>
      <c r="D990" t="s">
        <v>15</v>
      </c>
      <c r="E990">
        <v>4912.6899999999996</v>
      </c>
      <c r="F990">
        <v>18</v>
      </c>
      <c r="G990" t="s">
        <v>29</v>
      </c>
      <c r="H990">
        <v>430.14</v>
      </c>
      <c r="I990">
        <v>641.17999999999995</v>
      </c>
      <c r="J990">
        <f>Table2[[#This Row],[Sales_Amount]]-(Table2[[#This Row],[Quantity_Sold]]*Table2[[#This Row],[Unit_Cost]])</f>
        <v>-2829.83</v>
      </c>
    </row>
    <row r="991" spans="1:10" x14ac:dyDescent="0.3">
      <c r="A991">
        <v>1025</v>
      </c>
      <c r="B991" s="1">
        <v>45290</v>
      </c>
      <c r="C991" t="s">
        <v>24</v>
      </c>
      <c r="D991" t="s">
        <v>21</v>
      </c>
      <c r="E991">
        <v>19215.32</v>
      </c>
      <c r="F991">
        <v>28</v>
      </c>
      <c r="G991" t="s">
        <v>35</v>
      </c>
      <c r="H991">
        <v>2097.84</v>
      </c>
      <c r="I991">
        <v>2270.9899999999998</v>
      </c>
      <c r="J991">
        <f>Table2[[#This Row],[Sales_Amount]]-(Table2[[#This Row],[Quantity_Sold]]*Table2[[#This Row],[Unit_Cost]])</f>
        <v>-39524.200000000004</v>
      </c>
    </row>
    <row r="992" spans="1:10" x14ac:dyDescent="0.3">
      <c r="A992">
        <v>1017</v>
      </c>
      <c r="B992" s="1">
        <v>44946</v>
      </c>
      <c r="C992" t="s">
        <v>14</v>
      </c>
      <c r="D992" t="s">
        <v>34</v>
      </c>
      <c r="E992">
        <v>496.59</v>
      </c>
      <c r="F992">
        <v>29</v>
      </c>
      <c r="G992" t="s">
        <v>29</v>
      </c>
      <c r="H992">
        <v>3410.49</v>
      </c>
      <c r="I992">
        <v>3481.72</v>
      </c>
      <c r="J992">
        <f>Table2[[#This Row],[Sales_Amount]]-(Table2[[#This Row],[Quantity_Sold]]*Table2[[#This Row],[Unit_Cost]])</f>
        <v>-98407.62</v>
      </c>
    </row>
    <row r="993" spans="1:10" x14ac:dyDescent="0.3">
      <c r="A993">
        <v>1013</v>
      </c>
      <c r="B993" s="1">
        <v>45078</v>
      </c>
      <c r="C993" t="s">
        <v>33</v>
      </c>
      <c r="D993" t="s">
        <v>34</v>
      </c>
      <c r="E993">
        <v>2985.46</v>
      </c>
      <c r="F993">
        <v>16</v>
      </c>
      <c r="G993" t="s">
        <v>16</v>
      </c>
      <c r="H993">
        <v>1222.1500000000001</v>
      </c>
      <c r="I993">
        <v>1284.3599999999999</v>
      </c>
      <c r="J993">
        <f>Table2[[#This Row],[Sales_Amount]]-(Table2[[#This Row],[Quantity_Sold]]*Table2[[#This Row],[Unit_Cost]])</f>
        <v>-16568.940000000002</v>
      </c>
    </row>
    <row r="994" spans="1:10" x14ac:dyDescent="0.3">
      <c r="A994">
        <v>1084</v>
      </c>
      <c r="B994" s="1">
        <v>44976</v>
      </c>
      <c r="C994" t="s">
        <v>24</v>
      </c>
      <c r="D994" t="s">
        <v>21</v>
      </c>
      <c r="E994">
        <v>2154.66</v>
      </c>
      <c r="F994">
        <v>35</v>
      </c>
      <c r="G994" t="s">
        <v>26</v>
      </c>
      <c r="H994">
        <v>465.61</v>
      </c>
      <c r="I994">
        <v>812.91</v>
      </c>
      <c r="J994">
        <f>Table2[[#This Row],[Sales_Amount]]-(Table2[[#This Row],[Quantity_Sold]]*Table2[[#This Row],[Unit_Cost]])</f>
        <v>-14141.69</v>
      </c>
    </row>
    <row r="995" spans="1:10" x14ac:dyDescent="0.3">
      <c r="A995">
        <v>1025</v>
      </c>
      <c r="B995" s="1">
        <v>45103</v>
      </c>
      <c r="C995" t="s">
        <v>24</v>
      </c>
      <c r="D995" t="s">
        <v>15</v>
      </c>
      <c r="E995">
        <v>2457.65</v>
      </c>
      <c r="F995">
        <v>47</v>
      </c>
      <c r="G995" t="s">
        <v>16</v>
      </c>
      <c r="H995">
        <v>3861.61</v>
      </c>
      <c r="I995">
        <v>3998.91</v>
      </c>
      <c r="J995">
        <f>Table2[[#This Row],[Sales_Amount]]-(Table2[[#This Row],[Quantity_Sold]]*Table2[[#This Row],[Unit_Cost]])</f>
        <v>-179038.02000000002</v>
      </c>
    </row>
    <row r="996" spans="1:10" x14ac:dyDescent="0.3">
      <c r="A996">
        <v>1068</v>
      </c>
      <c r="B996" s="1">
        <v>45022</v>
      </c>
      <c r="C996" t="s">
        <v>42</v>
      </c>
      <c r="D996" t="s">
        <v>25</v>
      </c>
      <c r="E996">
        <v>9093.5</v>
      </c>
      <c r="F996">
        <v>31</v>
      </c>
      <c r="G996" t="s">
        <v>29</v>
      </c>
      <c r="H996">
        <v>3169.37</v>
      </c>
      <c r="I996">
        <v>3304.15</v>
      </c>
      <c r="J996">
        <f>Table2[[#This Row],[Sales_Amount]]-(Table2[[#This Row],[Quantity_Sold]]*Table2[[#This Row],[Unit_Cost]])</f>
        <v>-89156.97</v>
      </c>
    </row>
    <row r="997" spans="1:10" x14ac:dyDescent="0.3">
      <c r="A997">
        <v>1010</v>
      </c>
      <c r="B997" s="1">
        <v>45031</v>
      </c>
      <c r="C997" t="s">
        <v>33</v>
      </c>
      <c r="D997" t="s">
        <v>15</v>
      </c>
      <c r="E997">
        <v>4733.88</v>
      </c>
      <c r="F997">
        <v>4</v>
      </c>
      <c r="G997" t="s">
        <v>26</v>
      </c>
      <c r="H997">
        <v>4943.03</v>
      </c>
      <c r="I997">
        <v>5442.15</v>
      </c>
      <c r="J997">
        <f>Table2[[#This Row],[Sales_Amount]]-(Table2[[#This Row],[Quantity_Sold]]*Table2[[#This Row],[Unit_Cost]])</f>
        <v>-15038.239999999998</v>
      </c>
    </row>
    <row r="998" spans="1:10" x14ac:dyDescent="0.3">
      <c r="A998">
        <v>1067</v>
      </c>
      <c r="B998" s="1">
        <v>45176</v>
      </c>
      <c r="C998" t="s">
        <v>14</v>
      </c>
      <c r="D998" t="s">
        <v>15</v>
      </c>
      <c r="E998">
        <v>4716.3599999999997</v>
      </c>
      <c r="F998">
        <v>37</v>
      </c>
      <c r="G998" t="s">
        <v>29</v>
      </c>
      <c r="H998">
        <v>1754.32</v>
      </c>
      <c r="I998">
        <v>1856.3999999999901</v>
      </c>
      <c r="J998">
        <f>Table2[[#This Row],[Sales_Amount]]-(Table2[[#This Row],[Quantity_Sold]]*Table2[[#This Row],[Unit_Cost]])</f>
        <v>-60193.479999999996</v>
      </c>
    </row>
    <row r="999" spans="1:10" x14ac:dyDescent="0.3">
      <c r="A999">
        <v>1018</v>
      </c>
      <c r="B999" s="1">
        <v>45043</v>
      </c>
      <c r="C999" t="s">
        <v>24</v>
      </c>
      <c r="D999" t="s">
        <v>25</v>
      </c>
      <c r="E999">
        <v>7629.7</v>
      </c>
      <c r="F999">
        <v>17</v>
      </c>
      <c r="G999" t="s">
        <v>29</v>
      </c>
      <c r="H999">
        <v>355.72</v>
      </c>
      <c r="I999">
        <v>438.27</v>
      </c>
      <c r="J999">
        <f>Table2[[#This Row],[Sales_Amount]]-(Table2[[#This Row],[Quantity_Sold]]*Table2[[#This Row],[Unit_Cost]])</f>
        <v>1582.4599999999991</v>
      </c>
    </row>
    <row r="1000" spans="1:10" x14ac:dyDescent="0.3">
      <c r="A1000">
        <v>1100</v>
      </c>
      <c r="B1000" s="1">
        <v>45280</v>
      </c>
      <c r="C1000" t="s">
        <v>24</v>
      </c>
      <c r="D1000" t="s">
        <v>21</v>
      </c>
      <c r="E1000">
        <v>1629.47</v>
      </c>
      <c r="F1000">
        <v>39</v>
      </c>
      <c r="G1000" t="s">
        <v>35</v>
      </c>
      <c r="H1000">
        <v>3685.03</v>
      </c>
      <c r="I1000">
        <v>3743.39</v>
      </c>
      <c r="J1000">
        <f>Table2[[#This Row],[Sales_Amount]]-(Table2[[#This Row],[Quantity_Sold]]*Table2[[#This Row],[Unit_Cost]])</f>
        <v>-142086.70000000001</v>
      </c>
    </row>
    <row r="1001" spans="1:10" x14ac:dyDescent="0.3">
      <c r="A1001">
        <v>1086</v>
      </c>
      <c r="B1001" s="1">
        <v>45154</v>
      </c>
      <c r="C1001" t="s">
        <v>42</v>
      </c>
      <c r="D1001" t="s">
        <v>34</v>
      </c>
      <c r="E1001">
        <v>4923.93</v>
      </c>
      <c r="F1001">
        <v>48</v>
      </c>
      <c r="G1001" t="s">
        <v>26</v>
      </c>
      <c r="H1001">
        <v>2632.58</v>
      </c>
      <c r="I1001">
        <v>2926.68</v>
      </c>
      <c r="J1001">
        <f>Table2[[#This Row],[Sales_Amount]]-(Table2[[#This Row],[Quantity_Sold]]*Table2[[#This Row],[Unit_Cost]])</f>
        <v>-121439.91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7BC4-36C6-4E9D-A731-56A07AAD25E8}">
  <dimension ref="B2:G30"/>
  <sheetViews>
    <sheetView zoomScale="97" zoomScaleNormal="100" workbookViewId="0">
      <selection activeCell="I9" sqref="I9"/>
    </sheetView>
  </sheetViews>
  <sheetFormatPr defaultRowHeight="14.4" x14ac:dyDescent="0.3"/>
  <cols>
    <col min="1" max="1" width="12.44140625" bestFit="1" customWidth="1"/>
    <col min="2" max="2" width="12.77734375" bestFit="1" customWidth="1"/>
    <col min="3" max="3" width="19.5546875" bestFit="1" customWidth="1"/>
    <col min="4" max="4" width="12.77734375" bestFit="1" customWidth="1"/>
    <col min="5" max="5" width="19.5546875" bestFit="1" customWidth="1"/>
    <col min="6" max="6" width="12.77734375" bestFit="1" customWidth="1"/>
    <col min="7" max="7" width="19.44140625" bestFit="1" customWidth="1"/>
    <col min="8" max="9" width="21.109375" bestFit="1" customWidth="1"/>
    <col min="10" max="10" width="24.33203125" bestFit="1" customWidth="1"/>
    <col min="11" max="11" width="25.77734375" bestFit="1" customWidth="1"/>
    <col min="12" max="1000" width="15.5546875" bestFit="1" customWidth="1"/>
    <col min="1001" max="1001" width="10.5546875" bestFit="1" customWidth="1"/>
    <col min="1002" max="1003" width="8" bestFit="1" customWidth="1"/>
    <col min="1004" max="1004" width="9.6640625" bestFit="1" customWidth="1"/>
    <col min="1005" max="1005" width="10.5546875" bestFit="1" customWidth="1"/>
  </cols>
  <sheetData>
    <row r="2" spans="2:7" x14ac:dyDescent="0.3">
      <c r="B2" s="2" t="s">
        <v>54</v>
      </c>
      <c r="C2" t="s">
        <v>56</v>
      </c>
    </row>
    <row r="3" spans="2:7" x14ac:dyDescent="0.3">
      <c r="B3" s="3" t="s">
        <v>34</v>
      </c>
      <c r="C3" s="5">
        <v>1259792.93</v>
      </c>
    </row>
    <row r="4" spans="2:7" x14ac:dyDescent="0.3">
      <c r="B4" s="3" t="s">
        <v>15</v>
      </c>
      <c r="C4" s="5">
        <v>1369612.5100000009</v>
      </c>
      <c r="F4" s="2" t="s">
        <v>54</v>
      </c>
      <c r="G4" t="s">
        <v>56</v>
      </c>
    </row>
    <row r="5" spans="2:7" x14ac:dyDescent="0.3">
      <c r="B5" s="3" t="s">
        <v>25</v>
      </c>
      <c r="C5" s="5">
        <v>1154250.8600000006</v>
      </c>
      <c r="F5" s="3" t="s">
        <v>59</v>
      </c>
      <c r="G5" s="5">
        <v>495420.37000000011</v>
      </c>
    </row>
    <row r="6" spans="2:7" x14ac:dyDescent="0.3">
      <c r="B6" s="3" t="s">
        <v>21</v>
      </c>
      <c r="C6" s="5">
        <v>1235608.9299999997</v>
      </c>
      <c r="F6" s="3" t="s">
        <v>60</v>
      </c>
      <c r="G6" s="5">
        <v>368919.35999999993</v>
      </c>
    </row>
    <row r="7" spans="2:7" x14ac:dyDescent="0.3">
      <c r="B7" s="3" t="s">
        <v>55</v>
      </c>
      <c r="C7" s="5">
        <v>5019265.2300000014</v>
      </c>
      <c r="F7" s="3" t="s">
        <v>61</v>
      </c>
      <c r="G7" s="5">
        <v>402638.77000000008</v>
      </c>
    </row>
    <row r="8" spans="2:7" x14ac:dyDescent="0.3">
      <c r="F8" s="3" t="s">
        <v>62</v>
      </c>
      <c r="G8" s="5">
        <v>438992.61000000004</v>
      </c>
    </row>
    <row r="9" spans="2:7" x14ac:dyDescent="0.3">
      <c r="B9" s="2" t="s">
        <v>54</v>
      </c>
      <c r="C9" t="s">
        <v>56</v>
      </c>
      <c r="F9" s="3" t="s">
        <v>63</v>
      </c>
      <c r="G9" s="5">
        <v>389078.75999999989</v>
      </c>
    </row>
    <row r="10" spans="2:7" x14ac:dyDescent="0.3">
      <c r="B10" s="3" t="s">
        <v>42</v>
      </c>
      <c r="C10" s="5">
        <v>965541.77000000048</v>
      </c>
      <c r="F10" s="3" t="s">
        <v>64</v>
      </c>
      <c r="G10" s="5">
        <v>418458.34000000008</v>
      </c>
    </row>
    <row r="11" spans="2:7" x14ac:dyDescent="0.3">
      <c r="B11" s="3" t="s">
        <v>14</v>
      </c>
      <c r="C11" s="5">
        <v>1080990.6300000006</v>
      </c>
      <c r="F11" s="3" t="s">
        <v>65</v>
      </c>
      <c r="G11" s="5">
        <v>374242.88</v>
      </c>
    </row>
    <row r="12" spans="2:7" x14ac:dyDescent="0.3">
      <c r="B12" s="3" t="s">
        <v>33</v>
      </c>
      <c r="C12" s="5">
        <v>860811.48</v>
      </c>
      <c r="F12" s="3" t="s">
        <v>66</v>
      </c>
      <c r="G12" s="5">
        <v>443171.28</v>
      </c>
    </row>
    <row r="13" spans="2:7" x14ac:dyDescent="0.3">
      <c r="B13" s="3" t="s">
        <v>24</v>
      </c>
      <c r="C13" s="5">
        <v>1141737.3599999996</v>
      </c>
      <c r="F13" s="3" t="s">
        <v>67</v>
      </c>
      <c r="G13" s="5">
        <v>367837.60000000003</v>
      </c>
    </row>
    <row r="14" spans="2:7" x14ac:dyDescent="0.3">
      <c r="B14" s="3" t="s">
        <v>38</v>
      </c>
      <c r="C14" s="5">
        <v>970183.99000000022</v>
      </c>
      <c r="F14" s="3" t="s">
        <v>68</v>
      </c>
      <c r="G14" s="5">
        <v>460378.78000000014</v>
      </c>
    </row>
    <row r="15" spans="2:7" x14ac:dyDescent="0.3">
      <c r="B15" s="3" t="s">
        <v>55</v>
      </c>
      <c r="C15" s="5">
        <v>5019265.2300000004</v>
      </c>
      <c r="F15" s="3" t="s">
        <v>69</v>
      </c>
      <c r="G15" s="5">
        <v>467482.89999999985</v>
      </c>
    </row>
    <row r="16" spans="2:7" x14ac:dyDescent="0.3">
      <c r="F16" s="3" t="s">
        <v>70</v>
      </c>
      <c r="G16" s="5">
        <v>392643.57999999984</v>
      </c>
    </row>
    <row r="17" spans="2:7" x14ac:dyDescent="0.3">
      <c r="B17" s="2" t="s">
        <v>54</v>
      </c>
      <c r="C17" t="s">
        <v>56</v>
      </c>
      <c r="F17" s="3" t="s">
        <v>55</v>
      </c>
      <c r="G17" s="5">
        <v>5019265.2300000004</v>
      </c>
    </row>
    <row r="18" spans="2:7" x14ac:dyDescent="0.3">
      <c r="B18" s="3" t="s">
        <v>29</v>
      </c>
      <c r="C18" s="4">
        <v>1313474.3599999999</v>
      </c>
    </row>
    <row r="19" spans="2:7" x14ac:dyDescent="0.3">
      <c r="B19" s="3" t="s">
        <v>35</v>
      </c>
      <c r="C19" s="4">
        <v>1243499.6400000006</v>
      </c>
    </row>
    <row r="20" spans="2:7" x14ac:dyDescent="0.3">
      <c r="B20" s="3" t="s">
        <v>26</v>
      </c>
      <c r="C20" s="4">
        <v>1201773.5399999998</v>
      </c>
      <c r="F20" s="2" t="s">
        <v>54</v>
      </c>
      <c r="G20" t="s">
        <v>71</v>
      </c>
    </row>
    <row r="21" spans="2:7" x14ac:dyDescent="0.3">
      <c r="B21" s="3" t="s">
        <v>16</v>
      </c>
      <c r="C21" s="4">
        <v>1260517.6900000002</v>
      </c>
      <c r="F21" s="3" t="s">
        <v>34</v>
      </c>
      <c r="G21" s="5">
        <v>6356</v>
      </c>
    </row>
    <row r="22" spans="2:7" x14ac:dyDescent="0.3">
      <c r="B22" s="3" t="s">
        <v>55</v>
      </c>
      <c r="C22" s="4">
        <v>5019265.2300000004</v>
      </c>
      <c r="F22" s="3" t="s">
        <v>15</v>
      </c>
      <c r="G22" s="5">
        <v>6705</v>
      </c>
    </row>
    <row r="23" spans="2:7" x14ac:dyDescent="0.3">
      <c r="F23" s="3" t="s">
        <v>25</v>
      </c>
      <c r="G23" s="5">
        <v>5808</v>
      </c>
    </row>
    <row r="24" spans="2:7" x14ac:dyDescent="0.3">
      <c r="B24" s="2" t="s">
        <v>54</v>
      </c>
      <c r="C24" t="s">
        <v>58</v>
      </c>
      <c r="F24" s="3" t="s">
        <v>21</v>
      </c>
      <c r="G24" s="5">
        <v>6486</v>
      </c>
    </row>
    <row r="25" spans="2:7" x14ac:dyDescent="0.3">
      <c r="B25" s="3" t="s">
        <v>42</v>
      </c>
      <c r="C25" s="5">
        <v>192</v>
      </c>
      <c r="F25" s="3" t="s">
        <v>55</v>
      </c>
      <c r="G25" s="5">
        <v>25355</v>
      </c>
    </row>
    <row r="26" spans="2:7" x14ac:dyDescent="0.3">
      <c r="B26" s="3" t="s">
        <v>14</v>
      </c>
      <c r="C26" s="5">
        <v>208</v>
      </c>
    </row>
    <row r="27" spans="2:7" x14ac:dyDescent="0.3">
      <c r="B27" s="3" t="s">
        <v>33</v>
      </c>
      <c r="C27" s="5">
        <v>169</v>
      </c>
    </row>
    <row r="28" spans="2:7" x14ac:dyDescent="0.3">
      <c r="B28" s="3" t="s">
        <v>24</v>
      </c>
      <c r="C28" s="5">
        <v>222</v>
      </c>
    </row>
    <row r="29" spans="2:7" x14ac:dyDescent="0.3">
      <c r="B29" s="3" t="s">
        <v>38</v>
      </c>
      <c r="C29" s="5">
        <v>209</v>
      </c>
    </row>
    <row r="30" spans="2:7" x14ac:dyDescent="0.3">
      <c r="B30" s="3" t="s">
        <v>55</v>
      </c>
      <c r="C30" s="5">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E09B-4BE5-42EF-BBBF-33534402F951}">
  <dimension ref="A1"/>
  <sheetViews>
    <sheetView tabSelected="1" zoomScale="55" zoomScaleNormal="55" workbookViewId="0">
      <selection activeCell="AG29" sqref="AG29"/>
    </sheetView>
  </sheetViews>
  <sheetFormatPr defaultRowHeight="14.4" x14ac:dyDescent="0.3"/>
  <cols>
    <col min="1" max="1" width="12.44140625" bestFit="1" customWidth="1"/>
    <col min="2" max="2" width="12.6640625" bestFit="1" customWidth="1"/>
    <col min="3" max="3" width="15.6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Sheet1</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Nathiya S</cp:lastModifiedBy>
  <dcterms:created xsi:type="dcterms:W3CDTF">2026-05-20T17:14:29Z</dcterms:created>
  <dcterms:modified xsi:type="dcterms:W3CDTF">2026-06-14T10:43:41Z</dcterms:modified>
</cp:coreProperties>
</file>